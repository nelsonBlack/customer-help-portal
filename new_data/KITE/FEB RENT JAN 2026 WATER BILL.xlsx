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KITE\"/>
    </mc:Choice>
  </mc:AlternateContent>
  <xr:revisionPtr revIDLastSave="0" documentId="13_ncr:1_{59F935EF-F6C4-4DD3-90A7-9E693E0E52F2}" xr6:coauthVersionLast="47" xr6:coauthVersionMax="47" xr10:uidLastSave="{00000000-0000-0000-0000-000000000000}"/>
  <bookViews>
    <workbookView xWindow="-110" yWindow="-110" windowWidth="19420" windowHeight="11020" tabRatio="1000" firstSheet="21" activeTab="36" xr2:uid="{00000000-000D-0000-FFFF-FFFF00000000}"/>
  </bookViews>
  <sheets>
    <sheet name="hse1" sheetId="1" r:id="rId1"/>
    <sheet name="hse2" sheetId="2" r:id="rId2"/>
    <sheet name="hse3" sheetId="3" r:id="rId3"/>
    <sheet name="hse4" sheetId="4" r:id="rId4"/>
    <sheet name="hse5" sheetId="5" r:id="rId5"/>
    <sheet name="hse6B" sheetId="6" r:id="rId6"/>
    <sheet name="hse7B" sheetId="7" r:id="rId7"/>
    <sheet name="hse8" sheetId="8" r:id="rId8"/>
    <sheet name="hse9" sheetId="9" r:id="rId9"/>
    <sheet name="hse10" sheetId="10" r:id="rId10"/>
    <sheet name="hse11" sheetId="11" r:id="rId11"/>
    <sheet name="hse12" sheetId="12" r:id="rId12"/>
    <sheet name="hse13B" sheetId="13" r:id="rId13"/>
    <sheet name="hse14B" sheetId="14" r:id="rId14"/>
    <sheet name="hse 15" sheetId="15" r:id="rId15"/>
    <sheet name="hse16" sheetId="16" r:id="rId16"/>
    <sheet name="hse17" sheetId="17" r:id="rId17"/>
    <sheet name="hse18" sheetId="18" r:id="rId18"/>
    <sheet name="hse19" sheetId="19" r:id="rId19"/>
    <sheet name="hse20B" sheetId="20" r:id="rId20"/>
    <sheet name="hse21B" sheetId="21" r:id="rId21"/>
    <sheet name="hse22" sheetId="22" r:id="rId22"/>
    <sheet name="hse23" sheetId="23" r:id="rId23"/>
    <sheet name="hse24" sheetId="24" r:id="rId24"/>
    <sheet name="hse25" sheetId="25" r:id="rId25"/>
    <sheet name="hse26" sheetId="27" r:id="rId26"/>
    <sheet name="hse27B" sheetId="26" r:id="rId27"/>
    <sheet name="hse28B" sheetId="28" r:id="rId28"/>
    <sheet name="hse29" sheetId="29" r:id="rId29"/>
    <sheet name="hse30" sheetId="30" r:id="rId30"/>
    <sheet name="hse31" sheetId="31" r:id="rId31"/>
    <sheet name="hse32" sheetId="32" r:id="rId32"/>
    <sheet name="hse33" sheetId="33" r:id="rId33"/>
    <sheet name="hse34B" sheetId="34" r:id="rId34"/>
    <sheet name="hse35B" sheetId="35" r:id="rId35"/>
    <sheet name="36B." sheetId="36" r:id="rId36"/>
    <sheet name="meter" sheetId="37" r:id="rId37"/>
    <sheet name="Sheet3" sheetId="40" r:id="rId38"/>
    <sheet name="Sheet4" sheetId="41" r:id="rId39"/>
    <sheet name="Sheet1" sheetId="38" state="hidden" r:id="rId40"/>
    <sheet name="Sheet2" sheetId="39" state="hidden" r:id="rId41"/>
  </sheets>
  <definedNames>
    <definedName name="_xlnm.Print_Area" localSheetId="35">'36B.'!$A$1:$K$53</definedName>
    <definedName name="_xlnm.Print_Area" localSheetId="14">'hse 15'!$A$1:$J$53</definedName>
    <definedName name="_xlnm.Print_Area" localSheetId="0">'hse1'!$A$1:$H$55</definedName>
    <definedName name="_xlnm.Print_Area" localSheetId="9">'hse10'!$A$1:$I$56</definedName>
    <definedName name="_xlnm.Print_Area" localSheetId="10">'hse11'!$A$1:$H$53</definedName>
    <definedName name="_xlnm.Print_Area" localSheetId="11">'hse12'!$A$1:$J$53</definedName>
    <definedName name="_xlnm.Print_Area" localSheetId="12">hse13B!$A$1:$H$53</definedName>
    <definedName name="_xlnm.Print_Area" localSheetId="13">hse14B!$A$1:$J$53</definedName>
    <definedName name="_xlnm.Print_Area" localSheetId="15">'hse16'!$A$1:$L$53</definedName>
    <definedName name="_xlnm.Print_Area" localSheetId="16">'hse17'!$A$1:$K$53</definedName>
    <definedName name="_xlnm.Print_Area" localSheetId="17">'hse18'!$A$1:$I$53</definedName>
    <definedName name="_xlnm.Print_Area" localSheetId="18">'hse19'!$A$1:$H$53</definedName>
    <definedName name="_xlnm.Print_Area" localSheetId="1">'hse2'!$A$1:$G$53</definedName>
    <definedName name="_xlnm.Print_Area" localSheetId="19">hse20B!$A$1:$K$53</definedName>
    <definedName name="_xlnm.Print_Area" localSheetId="20">hse21B!$A$2:$K$53</definedName>
    <definedName name="_xlnm.Print_Area" localSheetId="21">'hse22'!$A$1:$J$53</definedName>
    <definedName name="_xlnm.Print_Area" localSheetId="22">'hse23'!$A$1:$K$53</definedName>
    <definedName name="_xlnm.Print_Area" localSheetId="23">'hse24'!$A$1:$I$53</definedName>
    <definedName name="_xlnm.Print_Area" localSheetId="24">'hse25'!$A$1:$I$53</definedName>
    <definedName name="_xlnm.Print_Area" localSheetId="25">'hse26'!$A$1:$J$53</definedName>
    <definedName name="_xlnm.Print_Area" localSheetId="26">hse27B!$A$2:$K$53</definedName>
    <definedName name="_xlnm.Print_Area" localSheetId="27">hse28B!$A$1:$K$53</definedName>
    <definedName name="_xlnm.Print_Area" localSheetId="28">'hse29'!$A$1:$I$53</definedName>
    <definedName name="_xlnm.Print_Area" localSheetId="2">'hse3'!$A$1:$H$54</definedName>
    <definedName name="_xlnm.Print_Area" localSheetId="29">'hse30'!$A$1:$J$53</definedName>
    <definedName name="_xlnm.Print_Area" localSheetId="30">'hse31'!$A$1:$K$53</definedName>
    <definedName name="_xlnm.Print_Area" localSheetId="31">'hse32'!$A$1:$I$52</definedName>
    <definedName name="_xlnm.Print_Area" localSheetId="32">'hse33'!$A$1:$I$52</definedName>
    <definedName name="_xlnm.Print_Area" localSheetId="33">hse34B!$A$1:$K$53</definedName>
    <definedName name="_xlnm.Print_Area" localSheetId="34">hse35B!$A$1:$I$53</definedName>
    <definedName name="_xlnm.Print_Area" localSheetId="3">'hse4'!$A$1:$J$53</definedName>
    <definedName name="_xlnm.Print_Area" localSheetId="4">'hse5'!$A$1:$J$53</definedName>
    <definedName name="_xlnm.Print_Area" localSheetId="5">hse6B!$A$1:$I$53</definedName>
    <definedName name="_xlnm.Print_Area" localSheetId="6">hse7B!$A$1:$H$54</definedName>
    <definedName name="_xlnm.Print_Area" localSheetId="7">'hse8'!$A$1:$I$53</definedName>
    <definedName name="_xlnm.Print_Area" localSheetId="8">'hse9'!$A$1:$H$53</definedName>
    <definedName name="_xlnm.Print_Area" localSheetId="36">meter!$A$1:$V$38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7" l="1"/>
  <c r="H3" i="37" s="1"/>
  <c r="C4" i="37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E18" i="3"/>
  <c r="B16" i="7"/>
  <c r="D6" i="35"/>
  <c r="D6" i="34"/>
  <c r="C37" i="37" l="1"/>
  <c r="C38" i="37" s="1"/>
  <c r="B16" i="33"/>
  <c r="F18" i="33"/>
  <c r="F18" i="12"/>
  <c r="B16" i="10"/>
  <c r="F18" i="2"/>
  <c r="D10" i="36"/>
  <c r="D12" i="36"/>
  <c r="D10" i="35"/>
  <c r="D12" i="34"/>
  <c r="D10" i="34"/>
  <c r="D10" i="33"/>
  <c r="D10" i="32"/>
  <c r="D10" i="31"/>
  <c r="D10" i="30"/>
  <c r="D10" i="29"/>
  <c r="D10" i="28"/>
  <c r="D10" i="26"/>
  <c r="D10" i="27"/>
  <c r="D10" i="25"/>
  <c r="D10" i="24"/>
  <c r="D10" i="23"/>
  <c r="D10" i="22"/>
  <c r="D10" i="21"/>
  <c r="D10" i="20"/>
  <c r="D10" i="18"/>
  <c r="D10" i="17"/>
  <c r="D10" i="16"/>
  <c r="D10" i="15"/>
  <c r="D10" i="14"/>
  <c r="D10" i="13"/>
  <c r="D10" i="12"/>
  <c r="C10" i="11"/>
  <c r="C10" i="10"/>
  <c r="C10" i="9"/>
  <c r="C10" i="8"/>
  <c r="C10" i="7"/>
  <c r="C10" i="6"/>
  <c r="C10" i="5"/>
  <c r="C10" i="4"/>
  <c r="C10" i="3"/>
  <c r="D12" i="2"/>
  <c r="D10" i="2"/>
  <c r="F18" i="23"/>
  <c r="D12" i="20"/>
  <c r="D12" i="19"/>
  <c r="D12" i="35"/>
  <c r="D16" i="35"/>
  <c r="D12" i="24"/>
  <c r="D12" i="22"/>
  <c r="D12" i="21"/>
  <c r="D12" i="16"/>
  <c r="D12" i="15"/>
  <c r="D12" i="14"/>
  <c r="D12" i="13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D16" i="22" l="1"/>
  <c r="B16" i="22"/>
  <c r="D16" i="32"/>
  <c r="B16" i="32"/>
  <c r="D16" i="31"/>
  <c r="B16" i="31"/>
  <c r="D16" i="30"/>
  <c r="B16" i="30"/>
  <c r="D16" i="29"/>
  <c r="B16" i="29"/>
  <c r="D16" i="28"/>
  <c r="B16" i="28"/>
  <c r="D16" i="26"/>
  <c r="B16" i="26"/>
  <c r="D16" i="27"/>
  <c r="B16" i="27"/>
  <c r="D16" i="25"/>
  <c r="B16" i="25"/>
  <c r="D16" i="24"/>
  <c r="B16" i="24"/>
  <c r="D16" i="23"/>
  <c r="D16" i="21"/>
  <c r="B16" i="21"/>
  <c r="D16" i="20"/>
  <c r="B16" i="20"/>
  <c r="D16" i="19"/>
  <c r="B16" i="19"/>
  <c r="D16" i="18"/>
  <c r="B16" i="18"/>
  <c r="D16" i="17"/>
  <c r="B16" i="17"/>
  <c r="D16" i="16"/>
  <c r="B16" i="16"/>
  <c r="D16" i="15"/>
  <c r="B16" i="15"/>
  <c r="D16" i="14"/>
  <c r="B16" i="14"/>
  <c r="D16" i="13"/>
  <c r="B16" i="13"/>
  <c r="D16" i="12"/>
  <c r="B16" i="12"/>
  <c r="C16" i="11"/>
  <c r="B16" i="11"/>
  <c r="C16" i="10"/>
  <c r="C16" i="9"/>
  <c r="B16" i="9"/>
  <c r="C16" i="8"/>
  <c r="B16" i="8"/>
  <c r="C16" i="7"/>
  <c r="C16" i="6"/>
  <c r="B16" i="6"/>
  <c r="C16" i="5"/>
  <c r="B16" i="5"/>
  <c r="C16" i="4"/>
  <c r="B16" i="4"/>
  <c r="C16" i="3"/>
  <c r="B16" i="3"/>
  <c r="D16" i="2"/>
  <c r="B16" i="2"/>
  <c r="C16" i="1"/>
  <c r="B16" i="1"/>
  <c r="F16" i="20" l="1"/>
  <c r="F16" i="22"/>
  <c r="E16" i="9"/>
  <c r="E16" i="3"/>
  <c r="P4" i="37"/>
  <c r="P6" i="37"/>
  <c r="P8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2" i="37"/>
  <c r="P34" i="37"/>
  <c r="P36" i="37"/>
  <c r="P37" i="37"/>
  <c r="P38" i="37"/>
  <c r="F22" i="24"/>
  <c r="H4" i="37"/>
  <c r="F20" i="2" s="1"/>
  <c r="H5" i="37"/>
  <c r="E20" i="5"/>
  <c r="H8" i="37"/>
  <c r="E20" i="6" s="1"/>
  <c r="H9" i="37"/>
  <c r="E20" i="7" s="1"/>
  <c r="H10" i="37"/>
  <c r="H11" i="37"/>
  <c r="H12" i="37"/>
  <c r="H13" i="37"/>
  <c r="E20" i="11" s="1"/>
  <c r="H14" i="37"/>
  <c r="H15" i="37"/>
  <c r="H16" i="37"/>
  <c r="F20" i="14" s="1"/>
  <c r="H17" i="37"/>
  <c r="F20" i="15" s="1"/>
  <c r="H18" i="37"/>
  <c r="H19" i="37"/>
  <c r="K19" i="37" s="1"/>
  <c r="H20" i="37"/>
  <c r="F20" i="18" s="1"/>
  <c r="H21" i="37"/>
  <c r="F20" i="19" s="1"/>
  <c r="H22" i="37"/>
  <c r="H23" i="37"/>
  <c r="H24" i="37"/>
  <c r="H25" i="37"/>
  <c r="K25" i="37" s="1"/>
  <c r="H26" i="37"/>
  <c r="H27" i="37"/>
  <c r="H28" i="37"/>
  <c r="H29" i="37"/>
  <c r="F20" i="26" s="1"/>
  <c r="H30" i="37"/>
  <c r="H31" i="37"/>
  <c r="F20" i="29" s="1"/>
  <c r="H32" i="37"/>
  <c r="H33" i="37"/>
  <c r="F20" i="31" s="1"/>
  <c r="H34" i="37"/>
  <c r="F20" i="32" s="1"/>
  <c r="H35" i="37"/>
  <c r="H36" i="37"/>
  <c r="H37" i="37"/>
  <c r="F20" i="35" s="1"/>
  <c r="H38" i="37"/>
  <c r="K38" i="37" s="1"/>
  <c r="E20" i="1"/>
  <c r="K45" i="39"/>
  <c r="J45" i="39"/>
  <c r="I45" i="39"/>
  <c r="E38" i="39"/>
  <c r="L22" i="38"/>
  <c r="L21" i="38"/>
  <c r="H54" i="37"/>
  <c r="H50" i="37"/>
  <c r="H51" i="37" s="1"/>
  <c r="Q45" i="37"/>
  <c r="O44" i="37"/>
  <c r="F44" i="37"/>
  <c r="H43" i="37"/>
  <c r="H45" i="37" s="1"/>
  <c r="F42" i="37"/>
  <c r="X41" i="37"/>
  <c r="H41" i="37"/>
  <c r="U39" i="37"/>
  <c r="R39" i="37"/>
  <c r="L39" i="37"/>
  <c r="J39" i="37"/>
  <c r="I39" i="37"/>
  <c r="N38" i="37"/>
  <c r="N37" i="37"/>
  <c r="N36" i="37"/>
  <c r="N35" i="37"/>
  <c r="N34" i="37"/>
  <c r="F24" i="32" s="1"/>
  <c r="N33" i="37"/>
  <c r="N32" i="37"/>
  <c r="N31" i="37"/>
  <c r="N30" i="37"/>
  <c r="F24" i="28" s="1"/>
  <c r="N29" i="37"/>
  <c r="N28" i="37"/>
  <c r="F24" i="27" s="1"/>
  <c r="N27" i="37"/>
  <c r="N26" i="37"/>
  <c r="N25" i="37"/>
  <c r="F24" i="23" s="1"/>
  <c r="N24" i="37"/>
  <c r="N23" i="37"/>
  <c r="F24" i="21" s="1"/>
  <c r="N22" i="37"/>
  <c r="N21" i="37"/>
  <c r="N20" i="37"/>
  <c r="N19" i="37"/>
  <c r="N18" i="37"/>
  <c r="F24" i="16" s="1"/>
  <c r="N17" i="37"/>
  <c r="N16" i="37"/>
  <c r="N15" i="37"/>
  <c r="F24" i="13" s="1"/>
  <c r="N14" i="37"/>
  <c r="N13" i="37"/>
  <c r="N12" i="37"/>
  <c r="E24" i="10" s="1"/>
  <c r="N11" i="37"/>
  <c r="N10" i="37"/>
  <c r="N9" i="37"/>
  <c r="N8" i="37"/>
  <c r="N6" i="37"/>
  <c r="E24" i="4" s="1"/>
  <c r="N5" i="37"/>
  <c r="E24" i="3" s="1"/>
  <c r="N4" i="37"/>
  <c r="N3" i="37"/>
  <c r="Q39" i="36"/>
  <c r="F32" i="36"/>
  <c r="F28" i="36"/>
  <c r="F24" i="36"/>
  <c r="D16" i="36"/>
  <c r="B16" i="36"/>
  <c r="D6" i="36"/>
  <c r="I4" i="36"/>
  <c r="B2" i="36"/>
  <c r="Q39" i="35"/>
  <c r="O39" i="35"/>
  <c r="N38" i="35"/>
  <c r="N37" i="35"/>
  <c r="N36" i="35"/>
  <c r="N35" i="35"/>
  <c r="N34" i="35"/>
  <c r="N33" i="35"/>
  <c r="N32" i="35"/>
  <c r="F32" i="35"/>
  <c r="N31" i="35"/>
  <c r="N30" i="35"/>
  <c r="N29" i="35"/>
  <c r="N28" i="35"/>
  <c r="N27" i="35"/>
  <c r="N26" i="35"/>
  <c r="N25" i="35"/>
  <c r="N24" i="35"/>
  <c r="N23" i="35"/>
  <c r="N22" i="35"/>
  <c r="N21" i="35"/>
  <c r="N20" i="35"/>
  <c r="N19" i="35"/>
  <c r="N18" i="35"/>
  <c r="F18" i="35"/>
  <c r="F28" i="35" s="1"/>
  <c r="N17" i="35"/>
  <c r="N16" i="35"/>
  <c r="B16" i="35"/>
  <c r="F16" i="35" s="1"/>
  <c r="N15" i="35"/>
  <c r="N14" i="35"/>
  <c r="N13" i="35"/>
  <c r="N12" i="35"/>
  <c r="N11" i="35"/>
  <c r="N10" i="35"/>
  <c r="N9" i="35"/>
  <c r="N8" i="35"/>
  <c r="N7" i="35"/>
  <c r="N6" i="35"/>
  <c r="N5" i="35"/>
  <c r="N4" i="35"/>
  <c r="J4" i="35"/>
  <c r="I4" i="35"/>
  <c r="N3" i="35"/>
  <c r="B2" i="35"/>
  <c r="Q39" i="34"/>
  <c r="O39" i="34"/>
  <c r="N38" i="34"/>
  <c r="N37" i="34"/>
  <c r="N36" i="34"/>
  <c r="N35" i="34"/>
  <c r="N34" i="34"/>
  <c r="N33" i="34"/>
  <c r="N32" i="34"/>
  <c r="F32" i="34"/>
  <c r="N31" i="34"/>
  <c r="N30" i="34"/>
  <c r="N29" i="34"/>
  <c r="N28" i="34"/>
  <c r="N27" i="34"/>
  <c r="N26" i="34"/>
  <c r="N25" i="34"/>
  <c r="N24" i="34"/>
  <c r="F24" i="34"/>
  <c r="N23" i="34"/>
  <c r="N22" i="34"/>
  <c r="N21" i="34"/>
  <c r="N20" i="34"/>
  <c r="N19" i="34"/>
  <c r="N18" i="34"/>
  <c r="F18" i="34"/>
  <c r="F28" i="34" s="1"/>
  <c r="N17" i="34"/>
  <c r="N16" i="34"/>
  <c r="D16" i="34"/>
  <c r="B16" i="34"/>
  <c r="N15" i="34"/>
  <c r="N14" i="34"/>
  <c r="N13" i="34"/>
  <c r="N12" i="34"/>
  <c r="N11" i="34"/>
  <c r="N10" i="34"/>
  <c r="N9" i="34"/>
  <c r="N8" i="34"/>
  <c r="N7" i="34"/>
  <c r="N6" i="34"/>
  <c r="N5" i="34"/>
  <c r="N4" i="34"/>
  <c r="J4" i="34"/>
  <c r="I4" i="34"/>
  <c r="N3" i="34"/>
  <c r="B2" i="34"/>
  <c r="Q39" i="33"/>
  <c r="O39" i="33"/>
  <c r="N38" i="33"/>
  <c r="N37" i="33"/>
  <c r="N36" i="33"/>
  <c r="N35" i="33"/>
  <c r="N34" i="33"/>
  <c r="N33" i="33"/>
  <c r="N32" i="33"/>
  <c r="N31" i="33"/>
  <c r="N30" i="33"/>
  <c r="N29" i="33"/>
  <c r="N28" i="33"/>
  <c r="N27" i="33"/>
  <c r="N26" i="33"/>
  <c r="N25" i="33"/>
  <c r="N24" i="33"/>
  <c r="N23" i="33"/>
  <c r="N22" i="33"/>
  <c r="N21" i="33"/>
  <c r="N20" i="33"/>
  <c r="N19" i="33"/>
  <c r="N18" i="33"/>
  <c r="F28" i="33"/>
  <c r="N17" i="33"/>
  <c r="N16" i="33"/>
  <c r="D16" i="33"/>
  <c r="N15" i="33"/>
  <c r="N14" i="33"/>
  <c r="N13" i="33"/>
  <c r="N12" i="33"/>
  <c r="D12" i="33"/>
  <c r="N11" i="33"/>
  <c r="N10" i="33"/>
  <c r="N9" i="33"/>
  <c r="N8" i="33"/>
  <c r="N7" i="33"/>
  <c r="N6" i="33"/>
  <c r="D6" i="33"/>
  <c r="N5" i="33"/>
  <c r="N4" i="33"/>
  <c r="J4" i="33"/>
  <c r="I4" i="33"/>
  <c r="N3" i="33"/>
  <c r="B2" i="33"/>
  <c r="Q39" i="32"/>
  <c r="O39" i="32"/>
  <c r="N38" i="32"/>
  <c r="N37" i="32"/>
  <c r="N36" i="32"/>
  <c r="N35" i="32"/>
  <c r="N34" i="32"/>
  <c r="N33" i="32"/>
  <c r="N32" i="32"/>
  <c r="F32" i="32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8" i="32"/>
  <c r="F18" i="32"/>
  <c r="F28" i="32" s="1"/>
  <c r="N17" i="32"/>
  <c r="N16" i="32"/>
  <c r="N15" i="32"/>
  <c r="N14" i="32"/>
  <c r="N13" i="32"/>
  <c r="N12" i="32"/>
  <c r="D12" i="32"/>
  <c r="N11" i="32"/>
  <c r="N10" i="32"/>
  <c r="N9" i="32"/>
  <c r="N8" i="32"/>
  <c r="N7" i="32"/>
  <c r="N6" i="32"/>
  <c r="D6" i="32"/>
  <c r="N5" i="32"/>
  <c r="N4" i="32"/>
  <c r="J4" i="32"/>
  <c r="I4" i="32"/>
  <c r="N3" i="32"/>
  <c r="B2" i="32"/>
  <c r="Q39" i="31"/>
  <c r="O39" i="31"/>
  <c r="N38" i="31"/>
  <c r="N37" i="31"/>
  <c r="N36" i="31"/>
  <c r="N35" i="31"/>
  <c r="N34" i="31"/>
  <c r="N33" i="31"/>
  <c r="N32" i="31"/>
  <c r="F32" i="31"/>
  <c r="N31" i="31"/>
  <c r="N30" i="31"/>
  <c r="N29" i="31"/>
  <c r="N28" i="31"/>
  <c r="N27" i="31"/>
  <c r="N26" i="31"/>
  <c r="E26" i="31"/>
  <c r="D26" i="31"/>
  <c r="N25" i="31"/>
  <c r="N24" i="31"/>
  <c r="N23" i="31"/>
  <c r="N22" i="31"/>
  <c r="N21" i="31"/>
  <c r="N20" i="31"/>
  <c r="N19" i="31"/>
  <c r="N18" i="31"/>
  <c r="F28" i="31"/>
  <c r="N17" i="31"/>
  <c r="N16" i="31"/>
  <c r="N15" i="31"/>
  <c r="N14" i="31"/>
  <c r="N13" i="31"/>
  <c r="N12" i="31"/>
  <c r="D12" i="31"/>
  <c r="N11" i="31"/>
  <c r="N10" i="31"/>
  <c r="N9" i="31"/>
  <c r="N8" i="31"/>
  <c r="N7" i="31"/>
  <c r="N6" i="31"/>
  <c r="N5" i="31"/>
  <c r="N4" i="31"/>
  <c r="J4" i="31"/>
  <c r="I4" i="31"/>
  <c r="N3" i="31"/>
  <c r="B2" i="31"/>
  <c r="Q39" i="30"/>
  <c r="O39" i="30"/>
  <c r="N38" i="30"/>
  <c r="N37" i="30"/>
  <c r="N36" i="30"/>
  <c r="N35" i="30"/>
  <c r="N34" i="30"/>
  <c r="N33" i="30"/>
  <c r="N32" i="30"/>
  <c r="F32" i="30"/>
  <c r="N31" i="30"/>
  <c r="N30" i="30"/>
  <c r="N29" i="30"/>
  <c r="N28" i="30"/>
  <c r="N27" i="30"/>
  <c r="N26" i="30"/>
  <c r="E26" i="30"/>
  <c r="D26" i="30"/>
  <c r="N25" i="30"/>
  <c r="N24" i="30"/>
  <c r="F24" i="30"/>
  <c r="N23" i="30"/>
  <c r="N22" i="30"/>
  <c r="N21" i="30"/>
  <c r="N20" i="30"/>
  <c r="N19" i="30"/>
  <c r="N18" i="30"/>
  <c r="F18" i="30"/>
  <c r="F28" i="30" s="1"/>
  <c r="N17" i="30"/>
  <c r="N16" i="30"/>
  <c r="N15" i="30"/>
  <c r="N14" i="30"/>
  <c r="N13" i="30"/>
  <c r="N12" i="30"/>
  <c r="D12" i="30"/>
  <c r="N11" i="30"/>
  <c r="N10" i="30"/>
  <c r="N9" i="30"/>
  <c r="N8" i="30"/>
  <c r="N7" i="30"/>
  <c r="N6" i="30"/>
  <c r="D6" i="30"/>
  <c r="N5" i="30"/>
  <c r="N4" i="30"/>
  <c r="J4" i="30"/>
  <c r="I4" i="30"/>
  <c r="N3" i="30"/>
  <c r="B2" i="30"/>
  <c r="Q39" i="29"/>
  <c r="O39" i="29"/>
  <c r="N38" i="29"/>
  <c r="N37" i="29"/>
  <c r="N36" i="29"/>
  <c r="N35" i="29"/>
  <c r="N34" i="29"/>
  <c r="N33" i="29"/>
  <c r="N32" i="29"/>
  <c r="F32" i="29"/>
  <c r="N31" i="29"/>
  <c r="N30" i="29"/>
  <c r="N29" i="29"/>
  <c r="N28" i="29"/>
  <c r="N27" i="29"/>
  <c r="N26" i="29"/>
  <c r="E26" i="29"/>
  <c r="D26" i="29"/>
  <c r="N25" i="29"/>
  <c r="N24" i="29"/>
  <c r="F24" i="29"/>
  <c r="N23" i="29"/>
  <c r="N22" i="29"/>
  <c r="N21" i="29"/>
  <c r="N20" i="29"/>
  <c r="N19" i="29"/>
  <c r="N18" i="29"/>
  <c r="F18" i="29"/>
  <c r="F28" i="29" s="1"/>
  <c r="N17" i="29"/>
  <c r="N16" i="29"/>
  <c r="N15" i="29"/>
  <c r="N14" i="29"/>
  <c r="N13" i="29"/>
  <c r="N12" i="29"/>
  <c r="D12" i="29"/>
  <c r="N11" i="29"/>
  <c r="N10" i="29"/>
  <c r="N9" i="29"/>
  <c r="N8" i="29"/>
  <c r="N7" i="29"/>
  <c r="N6" i="29"/>
  <c r="D6" i="29"/>
  <c r="N5" i="29"/>
  <c r="N4" i="29"/>
  <c r="J4" i="29"/>
  <c r="I4" i="29"/>
  <c r="N3" i="29"/>
  <c r="B2" i="29"/>
  <c r="Q39" i="28"/>
  <c r="O39" i="28"/>
  <c r="N38" i="28"/>
  <c r="N37" i="28"/>
  <c r="N36" i="28"/>
  <c r="N35" i="28"/>
  <c r="N34" i="28"/>
  <c r="N33" i="28"/>
  <c r="N32" i="28"/>
  <c r="F32" i="28"/>
  <c r="N31" i="28"/>
  <c r="N30" i="28"/>
  <c r="N29" i="28"/>
  <c r="N28" i="28"/>
  <c r="N27" i="28"/>
  <c r="N26" i="28"/>
  <c r="E26" i="28"/>
  <c r="D26" i="28"/>
  <c r="N25" i="28"/>
  <c r="N24" i="28"/>
  <c r="N23" i="28"/>
  <c r="N22" i="28"/>
  <c r="N21" i="28"/>
  <c r="N20" i="28"/>
  <c r="N19" i="28"/>
  <c r="N18" i="28"/>
  <c r="F18" i="28"/>
  <c r="N17" i="28"/>
  <c r="N16" i="28"/>
  <c r="N15" i="28"/>
  <c r="N14" i="28"/>
  <c r="N13" i="28"/>
  <c r="N12" i="28"/>
  <c r="D12" i="28"/>
  <c r="N11" i="28"/>
  <c r="N10" i="28"/>
  <c r="N9" i="28"/>
  <c r="N8" i="28"/>
  <c r="N7" i="28"/>
  <c r="N6" i="28"/>
  <c r="D6" i="28"/>
  <c r="N5" i="28"/>
  <c r="N4" i="28"/>
  <c r="I4" i="28"/>
  <c r="H4" i="28"/>
  <c r="N3" i="28"/>
  <c r="B2" i="28"/>
  <c r="Q39" i="27"/>
  <c r="O39" i="27"/>
  <c r="N38" i="27"/>
  <c r="N37" i="27"/>
  <c r="N36" i="27"/>
  <c r="N35" i="27"/>
  <c r="N34" i="27"/>
  <c r="N33" i="27"/>
  <c r="N32" i="27"/>
  <c r="N31" i="27"/>
  <c r="N30" i="27"/>
  <c r="N29" i="27"/>
  <c r="N28" i="27"/>
  <c r="N27" i="27"/>
  <c r="N26" i="27"/>
  <c r="F26" i="27"/>
  <c r="E26" i="27"/>
  <c r="D26" i="27"/>
  <c r="N25" i="27"/>
  <c r="N24" i="27"/>
  <c r="N23" i="27"/>
  <c r="N22" i="27"/>
  <c r="N21" i="27"/>
  <c r="N20" i="27"/>
  <c r="N19" i="27"/>
  <c r="N18" i="27"/>
  <c r="F18" i="27"/>
  <c r="F28" i="27" s="1"/>
  <c r="N17" i="27"/>
  <c r="N16" i="27"/>
  <c r="N15" i="27"/>
  <c r="N14" i="27"/>
  <c r="N13" i="27"/>
  <c r="R12" i="27"/>
  <c r="N12" i="27"/>
  <c r="D12" i="27"/>
  <c r="N11" i="27"/>
  <c r="N10" i="27"/>
  <c r="N9" i="27"/>
  <c r="N8" i="27"/>
  <c r="N7" i="27"/>
  <c r="N6" i="27"/>
  <c r="D6" i="27"/>
  <c r="N5" i="27"/>
  <c r="N4" i="27"/>
  <c r="L4" i="27"/>
  <c r="I4" i="27"/>
  <c r="N3" i="27"/>
  <c r="B2" i="27"/>
  <c r="R39" i="26"/>
  <c r="P39" i="26"/>
  <c r="O38" i="26"/>
  <c r="O37" i="26"/>
  <c r="O36" i="26"/>
  <c r="O35" i="26"/>
  <c r="O34" i="26"/>
  <c r="O33" i="26"/>
  <c r="O32" i="26"/>
  <c r="F32" i="26"/>
  <c r="O31" i="26"/>
  <c r="O30" i="26"/>
  <c r="O29" i="26"/>
  <c r="O28" i="26"/>
  <c r="O27" i="26"/>
  <c r="O26" i="26"/>
  <c r="E26" i="26"/>
  <c r="O25" i="26"/>
  <c r="O24" i="26"/>
  <c r="O23" i="26"/>
  <c r="O22" i="26"/>
  <c r="O21" i="26"/>
  <c r="O20" i="26"/>
  <c r="O19" i="26"/>
  <c r="O18" i="26"/>
  <c r="F18" i="26"/>
  <c r="F28" i="26" s="1"/>
  <c r="O17" i="26"/>
  <c r="O16" i="26"/>
  <c r="O15" i="26"/>
  <c r="O14" i="26"/>
  <c r="O13" i="26"/>
  <c r="O12" i="26"/>
  <c r="D12" i="26"/>
  <c r="O11" i="26"/>
  <c r="O10" i="26"/>
  <c r="O9" i="26"/>
  <c r="O8" i="26"/>
  <c r="O7" i="26"/>
  <c r="O6" i="26"/>
  <c r="O5" i="26"/>
  <c r="O4" i="26"/>
  <c r="M4" i="26"/>
  <c r="J4" i="26"/>
  <c r="O3" i="26"/>
  <c r="B2" i="26"/>
  <c r="Q39" i="25"/>
  <c r="O39" i="25"/>
  <c r="N38" i="25"/>
  <c r="N37" i="25"/>
  <c r="N36" i="25"/>
  <c r="N35" i="25"/>
  <c r="N34" i="25"/>
  <c r="N33" i="25"/>
  <c r="N32" i="25"/>
  <c r="N31" i="25"/>
  <c r="N30" i="25"/>
  <c r="N29" i="25"/>
  <c r="N28" i="25"/>
  <c r="N27" i="25"/>
  <c r="N26" i="25"/>
  <c r="E26" i="25"/>
  <c r="D26" i="25"/>
  <c r="N25" i="25"/>
  <c r="N24" i="25"/>
  <c r="F24" i="25"/>
  <c r="N23" i="25"/>
  <c r="N22" i="25"/>
  <c r="N21" i="25"/>
  <c r="N20" i="25"/>
  <c r="N19" i="25"/>
  <c r="N18" i="25"/>
  <c r="F18" i="25"/>
  <c r="F28" i="25" s="1"/>
  <c r="N17" i="25"/>
  <c r="N16" i="25"/>
  <c r="N15" i="25"/>
  <c r="N14" i="25"/>
  <c r="N13" i="25"/>
  <c r="N12" i="25"/>
  <c r="D12" i="25"/>
  <c r="N11" i="25"/>
  <c r="N10" i="25"/>
  <c r="N9" i="25"/>
  <c r="N8" i="25"/>
  <c r="N7" i="25"/>
  <c r="N6" i="25"/>
  <c r="N5" i="25"/>
  <c r="N4" i="25"/>
  <c r="K4" i="25"/>
  <c r="I4" i="25"/>
  <c r="N3" i="25"/>
  <c r="B2" i="25"/>
  <c r="Q39" i="24"/>
  <c r="O39" i="24"/>
  <c r="N38" i="24"/>
  <c r="N37" i="24"/>
  <c r="N36" i="24"/>
  <c r="N35" i="24"/>
  <c r="N34" i="24"/>
  <c r="N33" i="24"/>
  <c r="N32" i="24"/>
  <c r="F32" i="24"/>
  <c r="N31" i="24"/>
  <c r="N30" i="24"/>
  <c r="N29" i="24"/>
  <c r="N28" i="24"/>
  <c r="N27" i="24"/>
  <c r="N26" i="24"/>
  <c r="E26" i="24"/>
  <c r="D26" i="24"/>
  <c r="N25" i="24"/>
  <c r="N24" i="24"/>
  <c r="F24" i="24"/>
  <c r="N23" i="24"/>
  <c r="N22" i="24"/>
  <c r="N21" i="24"/>
  <c r="N20" i="24"/>
  <c r="N19" i="24"/>
  <c r="N18" i="24"/>
  <c r="F18" i="24"/>
  <c r="F28" i="24" s="1"/>
  <c r="N17" i="24"/>
  <c r="N16" i="24"/>
  <c r="N15" i="24"/>
  <c r="N14" i="24"/>
  <c r="N13" i="24"/>
  <c r="N12" i="24"/>
  <c r="N11" i="24"/>
  <c r="N10" i="24"/>
  <c r="N9" i="24"/>
  <c r="N8" i="24"/>
  <c r="N7" i="24"/>
  <c r="N6" i="24"/>
  <c r="D6" i="24"/>
  <c r="N5" i="24"/>
  <c r="N4" i="24"/>
  <c r="M4" i="24"/>
  <c r="I4" i="24"/>
  <c r="N3" i="24"/>
  <c r="B2" i="24"/>
  <c r="Q39" i="23"/>
  <c r="O39" i="23"/>
  <c r="N38" i="23"/>
  <c r="N37" i="23"/>
  <c r="N36" i="23"/>
  <c r="N35" i="23"/>
  <c r="N34" i="23"/>
  <c r="N33" i="23"/>
  <c r="N32" i="23"/>
  <c r="F32" i="23"/>
  <c r="N31" i="23"/>
  <c r="N30" i="23"/>
  <c r="N29" i="23"/>
  <c r="N28" i="23"/>
  <c r="N27" i="23"/>
  <c r="N26" i="23"/>
  <c r="F26" i="23"/>
  <c r="E26" i="23"/>
  <c r="D26" i="23"/>
  <c r="N25" i="23"/>
  <c r="N24" i="23"/>
  <c r="N23" i="23"/>
  <c r="N22" i="23"/>
  <c r="N21" i="23"/>
  <c r="N20" i="23"/>
  <c r="N19" i="23"/>
  <c r="N18" i="23"/>
  <c r="N17" i="23"/>
  <c r="N16" i="23"/>
  <c r="B16" i="23"/>
  <c r="N15" i="23"/>
  <c r="N14" i="23"/>
  <c r="N13" i="23"/>
  <c r="N12" i="23"/>
  <c r="D12" i="23"/>
  <c r="N11" i="23"/>
  <c r="N10" i="23"/>
  <c r="N9" i="23"/>
  <c r="N8" i="23"/>
  <c r="N7" i="23"/>
  <c r="N6" i="23"/>
  <c r="D6" i="23"/>
  <c r="N5" i="23"/>
  <c r="N4" i="23"/>
  <c r="K4" i="23"/>
  <c r="I4" i="23"/>
  <c r="N3" i="23"/>
  <c r="B2" i="23"/>
  <c r="Q39" i="22"/>
  <c r="O39" i="22"/>
  <c r="N38" i="22"/>
  <c r="N37" i="22"/>
  <c r="N36" i="22"/>
  <c r="N35" i="22"/>
  <c r="N34" i="22"/>
  <c r="N33" i="22"/>
  <c r="N32" i="22"/>
  <c r="F32" i="22"/>
  <c r="N31" i="22"/>
  <c r="N30" i="22"/>
  <c r="N29" i="22"/>
  <c r="N28" i="22"/>
  <c r="N27" i="22"/>
  <c r="N26" i="22"/>
  <c r="E26" i="22"/>
  <c r="D26" i="22"/>
  <c r="N25" i="22"/>
  <c r="N24" i="22"/>
  <c r="F24" i="22"/>
  <c r="N23" i="22"/>
  <c r="N22" i="22"/>
  <c r="F22" i="22"/>
  <c r="N21" i="22"/>
  <c r="N20" i="22"/>
  <c r="N19" i="22"/>
  <c r="N18" i="22"/>
  <c r="F18" i="22"/>
  <c r="F28" i="22" s="1"/>
  <c r="N17" i="22"/>
  <c r="N16" i="22"/>
  <c r="N15" i="22"/>
  <c r="N14" i="22"/>
  <c r="N13" i="22"/>
  <c r="N12" i="22"/>
  <c r="N11" i="22"/>
  <c r="N10" i="22"/>
  <c r="N9" i="22"/>
  <c r="N8" i="22"/>
  <c r="N7" i="22"/>
  <c r="N6" i="22"/>
  <c r="D6" i="22"/>
  <c r="N5" i="22"/>
  <c r="N4" i="22"/>
  <c r="J4" i="22"/>
  <c r="I4" i="22"/>
  <c r="N3" i="22"/>
  <c r="B3" i="22"/>
  <c r="Q39" i="21"/>
  <c r="O39" i="21"/>
  <c r="N38" i="21"/>
  <c r="N37" i="21"/>
  <c r="N36" i="21"/>
  <c r="N35" i="21"/>
  <c r="N34" i="21"/>
  <c r="N33" i="21"/>
  <c r="N32" i="21"/>
  <c r="F32" i="21"/>
  <c r="N31" i="21"/>
  <c r="N30" i="21"/>
  <c r="N29" i="21"/>
  <c r="N28" i="21"/>
  <c r="N27" i="21"/>
  <c r="N26" i="21"/>
  <c r="F26" i="21"/>
  <c r="E26" i="21"/>
  <c r="D26" i="21"/>
  <c r="N25" i="21"/>
  <c r="N24" i="21"/>
  <c r="N23" i="21"/>
  <c r="N22" i="21"/>
  <c r="N21" i="21"/>
  <c r="N20" i="21"/>
  <c r="N19" i="21"/>
  <c r="N18" i="21"/>
  <c r="F18" i="21"/>
  <c r="F28" i="21" s="1"/>
  <c r="N17" i="21"/>
  <c r="N16" i="21"/>
  <c r="N15" i="21"/>
  <c r="N14" i="21"/>
  <c r="N13" i="21"/>
  <c r="N12" i="21"/>
  <c r="N11" i="21"/>
  <c r="N10" i="21"/>
  <c r="N9" i="21"/>
  <c r="N8" i="21"/>
  <c r="N7" i="21"/>
  <c r="N6" i="21"/>
  <c r="D6" i="21"/>
  <c r="N5" i="21"/>
  <c r="N4" i="21"/>
  <c r="L4" i="21"/>
  <c r="I4" i="21"/>
  <c r="N3" i="21"/>
  <c r="B3" i="21"/>
  <c r="Q39" i="20"/>
  <c r="O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E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D6" i="20"/>
  <c r="N5" i="20"/>
  <c r="N4" i="20"/>
  <c r="J4" i="20"/>
  <c r="I4" i="20"/>
  <c r="N3" i="20"/>
  <c r="B3" i="20"/>
  <c r="Q39" i="19"/>
  <c r="O39" i="19"/>
  <c r="N38" i="19"/>
  <c r="N37" i="19"/>
  <c r="N36" i="19"/>
  <c r="N35" i="19"/>
  <c r="N34" i="19"/>
  <c r="N33" i="19"/>
  <c r="N32" i="19"/>
  <c r="F32" i="19"/>
  <c r="N31" i="19"/>
  <c r="N30" i="19"/>
  <c r="N29" i="19"/>
  <c r="N28" i="19"/>
  <c r="N27" i="19"/>
  <c r="N26" i="19"/>
  <c r="E26" i="19"/>
  <c r="D26" i="19"/>
  <c r="N25" i="19"/>
  <c r="N24" i="19"/>
  <c r="F24" i="19"/>
  <c r="N23" i="19"/>
  <c r="N22" i="19"/>
  <c r="N21" i="19"/>
  <c r="N20" i="19"/>
  <c r="N19" i="19"/>
  <c r="N18" i="19"/>
  <c r="F28" i="19"/>
  <c r="N17" i="19"/>
  <c r="N16" i="19"/>
  <c r="N15" i="19"/>
  <c r="N14" i="19"/>
  <c r="N13" i="19"/>
  <c r="N12" i="19"/>
  <c r="N11" i="19"/>
  <c r="N10" i="19"/>
  <c r="D10" i="19"/>
  <c r="N9" i="19"/>
  <c r="N8" i="19"/>
  <c r="N7" i="19"/>
  <c r="N6" i="19"/>
  <c r="D6" i="19"/>
  <c r="N5" i="19"/>
  <c r="G5" i="19"/>
  <c r="N4" i="19"/>
  <c r="I4" i="19"/>
  <c r="H4" i="19"/>
  <c r="N3" i="19"/>
  <c r="B3" i="19"/>
  <c r="Q39" i="18"/>
  <c r="O39" i="18"/>
  <c r="N38" i="18"/>
  <c r="N37" i="18"/>
  <c r="N36" i="18"/>
  <c r="N35" i="18"/>
  <c r="N34" i="18"/>
  <c r="N33" i="18"/>
  <c r="N32" i="18"/>
  <c r="F32" i="18"/>
  <c r="N31" i="18"/>
  <c r="N30" i="18"/>
  <c r="N29" i="18"/>
  <c r="N28" i="18"/>
  <c r="N27" i="18"/>
  <c r="N26" i="18"/>
  <c r="E26" i="18"/>
  <c r="D26" i="18"/>
  <c r="N25" i="18"/>
  <c r="N24" i="18"/>
  <c r="N23" i="18"/>
  <c r="N22" i="18"/>
  <c r="N21" i="18"/>
  <c r="N20" i="18"/>
  <c r="N19" i="18"/>
  <c r="N18" i="18"/>
  <c r="F18" i="18"/>
  <c r="F28" i="18" s="1"/>
  <c r="N17" i="18"/>
  <c r="N16" i="18"/>
  <c r="N15" i="18"/>
  <c r="N14" i="18"/>
  <c r="N13" i="18"/>
  <c r="N12" i="18"/>
  <c r="D12" i="18"/>
  <c r="N11" i="18"/>
  <c r="N10" i="18"/>
  <c r="N9" i="18"/>
  <c r="N8" i="18"/>
  <c r="N7" i="18"/>
  <c r="N6" i="18"/>
  <c r="D6" i="18"/>
  <c r="N5" i="18"/>
  <c r="N4" i="18"/>
  <c r="K4" i="18"/>
  <c r="I4" i="18"/>
  <c r="N3" i="18"/>
  <c r="B3" i="18"/>
  <c r="Q39" i="17"/>
  <c r="O39" i="17"/>
  <c r="N38" i="17"/>
  <c r="N37" i="17"/>
  <c r="N36" i="17"/>
  <c r="N35" i="17"/>
  <c r="N34" i="17"/>
  <c r="N33" i="17"/>
  <c r="N32" i="17"/>
  <c r="F32" i="17"/>
  <c r="N31" i="17"/>
  <c r="N30" i="17"/>
  <c r="N29" i="17"/>
  <c r="N28" i="17"/>
  <c r="N27" i="17"/>
  <c r="N26" i="17"/>
  <c r="E26" i="17"/>
  <c r="D26" i="17"/>
  <c r="N25" i="17"/>
  <c r="N24" i="17"/>
  <c r="N23" i="17"/>
  <c r="N22" i="17"/>
  <c r="N21" i="17"/>
  <c r="N20" i="17"/>
  <c r="N19" i="17"/>
  <c r="N18" i="17"/>
  <c r="F18" i="17"/>
  <c r="F28" i="17" s="1"/>
  <c r="N17" i="17"/>
  <c r="N16" i="17"/>
  <c r="N15" i="17"/>
  <c r="N14" i="17"/>
  <c r="N13" i="17"/>
  <c r="N12" i="17"/>
  <c r="D12" i="17"/>
  <c r="N11" i="17"/>
  <c r="N10" i="17"/>
  <c r="N9" i="17"/>
  <c r="N8" i="17"/>
  <c r="N7" i="17"/>
  <c r="N6" i="17"/>
  <c r="D6" i="17"/>
  <c r="N5" i="17"/>
  <c r="N4" i="17"/>
  <c r="J4" i="17"/>
  <c r="I4" i="17"/>
  <c r="N3" i="17"/>
  <c r="B3" i="17"/>
  <c r="Q39" i="16"/>
  <c r="O39" i="16"/>
  <c r="N38" i="16"/>
  <c r="N37" i="16"/>
  <c r="N36" i="16"/>
  <c r="N35" i="16"/>
  <c r="N34" i="16"/>
  <c r="N33" i="16"/>
  <c r="N32" i="16"/>
  <c r="F32" i="16"/>
  <c r="N31" i="16"/>
  <c r="N30" i="16"/>
  <c r="N29" i="16"/>
  <c r="N28" i="16"/>
  <c r="N27" i="16"/>
  <c r="N26" i="16"/>
  <c r="F26" i="16"/>
  <c r="E26" i="16"/>
  <c r="D26" i="16"/>
  <c r="N25" i="16"/>
  <c r="N24" i="16"/>
  <c r="N23" i="16"/>
  <c r="N22" i="16"/>
  <c r="N21" i="16"/>
  <c r="N20" i="16"/>
  <c r="N19" i="16"/>
  <c r="N18" i="16"/>
  <c r="F18" i="16"/>
  <c r="F28" i="16" s="1"/>
  <c r="N17" i="16"/>
  <c r="N16" i="16"/>
  <c r="F16" i="16"/>
  <c r="N15" i="16"/>
  <c r="N14" i="16"/>
  <c r="N13" i="16"/>
  <c r="N12" i="16"/>
  <c r="N11" i="16"/>
  <c r="N10" i="16"/>
  <c r="N9" i="16"/>
  <c r="N8" i="16"/>
  <c r="N7" i="16"/>
  <c r="N6" i="16"/>
  <c r="D6" i="16"/>
  <c r="N5" i="16"/>
  <c r="N4" i="16"/>
  <c r="M4" i="16"/>
  <c r="I4" i="16"/>
  <c r="N3" i="16"/>
  <c r="B3" i="16"/>
  <c r="Q39" i="15"/>
  <c r="O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E26" i="15"/>
  <c r="D26" i="15"/>
  <c r="N25" i="15"/>
  <c r="N24" i="15"/>
  <c r="F24" i="15"/>
  <c r="N23" i="15"/>
  <c r="N22" i="15"/>
  <c r="N21" i="15"/>
  <c r="N20" i="15"/>
  <c r="N19" i="15"/>
  <c r="N18" i="15"/>
  <c r="F18" i="15"/>
  <c r="F28" i="15" s="1"/>
  <c r="N17" i="15"/>
  <c r="N16" i="15"/>
  <c r="N15" i="15"/>
  <c r="N14" i="15"/>
  <c r="N13" i="15"/>
  <c r="N12" i="15"/>
  <c r="N11" i="15"/>
  <c r="N10" i="15"/>
  <c r="N9" i="15"/>
  <c r="N8" i="15"/>
  <c r="N7" i="15"/>
  <c r="N6" i="15"/>
  <c r="D6" i="15"/>
  <c r="N5" i="15"/>
  <c r="N4" i="15"/>
  <c r="J4" i="15"/>
  <c r="I4" i="15"/>
  <c r="N3" i="15"/>
  <c r="B3" i="15"/>
  <c r="Q39" i="14"/>
  <c r="O39" i="14"/>
  <c r="N38" i="14"/>
  <c r="N37" i="14"/>
  <c r="N36" i="14"/>
  <c r="N35" i="14"/>
  <c r="N34" i="14"/>
  <c r="N33" i="14"/>
  <c r="N32" i="14"/>
  <c r="F32" i="14"/>
  <c r="N31" i="14"/>
  <c r="N30" i="14"/>
  <c r="N29" i="14"/>
  <c r="N28" i="14"/>
  <c r="N27" i="14"/>
  <c r="N26" i="14"/>
  <c r="E26" i="14"/>
  <c r="N25" i="14"/>
  <c r="N24" i="14"/>
  <c r="N23" i="14"/>
  <c r="N22" i="14"/>
  <c r="N21" i="14"/>
  <c r="N20" i="14"/>
  <c r="N19" i="14"/>
  <c r="N18" i="14"/>
  <c r="F18" i="14"/>
  <c r="F28" i="14" s="1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J4" i="14"/>
  <c r="I4" i="14"/>
  <c r="N3" i="14"/>
  <c r="B3" i="14"/>
  <c r="Q39" i="13"/>
  <c r="O39" i="13"/>
  <c r="N38" i="13"/>
  <c r="N37" i="13"/>
  <c r="N36" i="13"/>
  <c r="N35" i="13"/>
  <c r="N34" i="13"/>
  <c r="N33" i="13"/>
  <c r="N32" i="13"/>
  <c r="F32" i="13"/>
  <c r="N31" i="13"/>
  <c r="N30" i="13"/>
  <c r="N29" i="13"/>
  <c r="N28" i="13"/>
  <c r="N27" i="13"/>
  <c r="N26" i="13"/>
  <c r="F26" i="13"/>
  <c r="N25" i="13"/>
  <c r="N24" i="13"/>
  <c r="N23" i="13"/>
  <c r="N22" i="13"/>
  <c r="N21" i="13"/>
  <c r="N20" i="13"/>
  <c r="N19" i="13"/>
  <c r="N18" i="13"/>
  <c r="F18" i="13"/>
  <c r="F28" i="13" s="1"/>
  <c r="N17" i="13"/>
  <c r="N16" i="13"/>
  <c r="F16" i="13"/>
  <c r="N15" i="13"/>
  <c r="N14" i="13"/>
  <c r="N13" i="13"/>
  <c r="N12" i="13"/>
  <c r="N11" i="13"/>
  <c r="N10" i="13"/>
  <c r="N9" i="13"/>
  <c r="N8" i="13"/>
  <c r="N7" i="13"/>
  <c r="N6" i="13"/>
  <c r="D6" i="13"/>
  <c r="N5" i="13"/>
  <c r="N4" i="13"/>
  <c r="H4" i="13"/>
  <c r="N3" i="13"/>
  <c r="B3" i="13"/>
  <c r="Q39" i="12"/>
  <c r="O39" i="12"/>
  <c r="N38" i="12"/>
  <c r="N37" i="12"/>
  <c r="N36" i="12"/>
  <c r="N35" i="12"/>
  <c r="N34" i="12"/>
  <c r="N33" i="12"/>
  <c r="N32" i="12"/>
  <c r="F32" i="12"/>
  <c r="N31" i="12"/>
  <c r="N30" i="12"/>
  <c r="N29" i="12"/>
  <c r="N28" i="12"/>
  <c r="N27" i="12"/>
  <c r="N26" i="12"/>
  <c r="N25" i="12"/>
  <c r="N24" i="12"/>
  <c r="F24" i="12"/>
  <c r="N23" i="12"/>
  <c r="N22" i="12"/>
  <c r="N21" i="12"/>
  <c r="N20" i="12"/>
  <c r="N19" i="12"/>
  <c r="N18" i="12"/>
  <c r="F28" i="12"/>
  <c r="N17" i="12"/>
  <c r="N16" i="12"/>
  <c r="N15" i="12"/>
  <c r="N14" i="12"/>
  <c r="N13" i="12"/>
  <c r="N12" i="12"/>
  <c r="D12" i="12"/>
  <c r="N11" i="12"/>
  <c r="N10" i="12"/>
  <c r="N9" i="12"/>
  <c r="N8" i="12"/>
  <c r="N7" i="12"/>
  <c r="N6" i="12"/>
  <c r="D6" i="12"/>
  <c r="N5" i="12"/>
  <c r="N4" i="12"/>
  <c r="J4" i="12"/>
  <c r="I4" i="12"/>
  <c r="N3" i="12"/>
  <c r="B3" i="12"/>
  <c r="Q39" i="11"/>
  <c r="O39" i="11"/>
  <c r="N38" i="11"/>
  <c r="N37" i="11"/>
  <c r="N36" i="11"/>
  <c r="N35" i="11"/>
  <c r="N34" i="11"/>
  <c r="N33" i="11"/>
  <c r="N32" i="11"/>
  <c r="E32" i="11"/>
  <c r="N31" i="11"/>
  <c r="N30" i="11"/>
  <c r="N29" i="11"/>
  <c r="N28" i="11"/>
  <c r="N27" i="11"/>
  <c r="N26" i="11"/>
  <c r="C26" i="11"/>
  <c r="N25" i="11"/>
  <c r="N24" i="11"/>
  <c r="N23" i="11"/>
  <c r="N22" i="11"/>
  <c r="N21" i="11"/>
  <c r="N20" i="11"/>
  <c r="N19" i="11"/>
  <c r="N18" i="11"/>
  <c r="E18" i="11"/>
  <c r="E28" i="11" s="1"/>
  <c r="N17" i="11"/>
  <c r="N16" i="11"/>
  <c r="N15" i="11"/>
  <c r="N14" i="11"/>
  <c r="N13" i="11"/>
  <c r="N12" i="11"/>
  <c r="C12" i="11"/>
  <c r="N11" i="11"/>
  <c r="N10" i="11"/>
  <c r="N9" i="11"/>
  <c r="N8" i="11"/>
  <c r="N7" i="11"/>
  <c r="N6" i="11"/>
  <c r="C6" i="11"/>
  <c r="N5" i="11"/>
  <c r="N4" i="11"/>
  <c r="H4" i="11"/>
  <c r="N3" i="11"/>
  <c r="B3" i="11"/>
  <c r="Q39" i="10"/>
  <c r="O39" i="10"/>
  <c r="N38" i="10"/>
  <c r="N37" i="10"/>
  <c r="N36" i="10"/>
  <c r="N35" i="10"/>
  <c r="N34" i="10"/>
  <c r="N33" i="10"/>
  <c r="N32" i="10"/>
  <c r="E32" i="10"/>
  <c r="N31" i="10"/>
  <c r="N30" i="10"/>
  <c r="N29" i="10"/>
  <c r="N28" i="10"/>
  <c r="N27" i="10"/>
  <c r="N26" i="10"/>
  <c r="C26" i="10"/>
  <c r="N25" i="10"/>
  <c r="N24" i="10"/>
  <c r="N23" i="10"/>
  <c r="N22" i="10"/>
  <c r="E22" i="10"/>
  <c r="N21" i="10"/>
  <c r="N20" i="10"/>
  <c r="N19" i="10"/>
  <c r="N18" i="10"/>
  <c r="E28" i="10"/>
  <c r="N17" i="10"/>
  <c r="N16" i="10"/>
  <c r="N15" i="10"/>
  <c r="N14" i="10"/>
  <c r="N13" i="10"/>
  <c r="N12" i="10"/>
  <c r="C12" i="10"/>
  <c r="N11" i="10"/>
  <c r="N10" i="10"/>
  <c r="N9" i="10"/>
  <c r="N8" i="10"/>
  <c r="N7" i="10"/>
  <c r="N6" i="10"/>
  <c r="C6" i="10"/>
  <c r="N5" i="10"/>
  <c r="N4" i="10"/>
  <c r="H4" i="10"/>
  <c r="N3" i="10"/>
  <c r="B3" i="10"/>
  <c r="Q39" i="9"/>
  <c r="O39" i="9"/>
  <c r="N38" i="9"/>
  <c r="N37" i="9"/>
  <c r="N36" i="9"/>
  <c r="N35" i="9"/>
  <c r="N34" i="9"/>
  <c r="N33" i="9"/>
  <c r="N32" i="9"/>
  <c r="E32" i="9"/>
  <c r="N31" i="9"/>
  <c r="N30" i="9"/>
  <c r="N29" i="9"/>
  <c r="N28" i="9"/>
  <c r="N27" i="9"/>
  <c r="N26" i="9"/>
  <c r="D26" i="9"/>
  <c r="C26" i="9"/>
  <c r="N25" i="9"/>
  <c r="N24" i="9"/>
  <c r="E24" i="9"/>
  <c r="N23" i="9"/>
  <c r="N22" i="9"/>
  <c r="E22" i="9"/>
  <c r="N21" i="9"/>
  <c r="N20" i="9"/>
  <c r="N19" i="9"/>
  <c r="N18" i="9"/>
  <c r="E18" i="9"/>
  <c r="E28" i="9" s="1"/>
  <c r="N17" i="9"/>
  <c r="N16" i="9"/>
  <c r="N15" i="9"/>
  <c r="N14" i="9"/>
  <c r="N13" i="9"/>
  <c r="N12" i="9"/>
  <c r="C12" i="9"/>
  <c r="N11" i="9"/>
  <c r="N10" i="9"/>
  <c r="N9" i="9"/>
  <c r="N8" i="9"/>
  <c r="N7" i="9"/>
  <c r="N6" i="9"/>
  <c r="C6" i="9"/>
  <c r="N5" i="9"/>
  <c r="N4" i="9"/>
  <c r="H4" i="9"/>
  <c r="N3" i="9"/>
  <c r="B3" i="9"/>
  <c r="Q39" i="8"/>
  <c r="O39" i="8"/>
  <c r="N38" i="8"/>
  <c r="N37" i="8"/>
  <c r="N36" i="8"/>
  <c r="N35" i="8"/>
  <c r="N34" i="8"/>
  <c r="N33" i="8"/>
  <c r="N32" i="8"/>
  <c r="E32" i="8"/>
  <c r="N31" i="8"/>
  <c r="N30" i="8"/>
  <c r="N29" i="8"/>
  <c r="N28" i="8"/>
  <c r="N27" i="8"/>
  <c r="N26" i="8"/>
  <c r="D26" i="8"/>
  <c r="C26" i="8"/>
  <c r="N25" i="8"/>
  <c r="N24" i="8"/>
  <c r="E24" i="8"/>
  <c r="N23" i="8"/>
  <c r="N22" i="8"/>
  <c r="N21" i="8"/>
  <c r="N20" i="8"/>
  <c r="N19" i="8"/>
  <c r="N18" i="8"/>
  <c r="E18" i="8"/>
  <c r="E28" i="8" s="1"/>
  <c r="N17" i="8"/>
  <c r="N16" i="8"/>
  <c r="N15" i="8"/>
  <c r="N14" i="8"/>
  <c r="N13" i="8"/>
  <c r="N12" i="8"/>
  <c r="C12" i="8"/>
  <c r="N11" i="8"/>
  <c r="N10" i="8"/>
  <c r="N9" i="8"/>
  <c r="N8" i="8"/>
  <c r="N7" i="8"/>
  <c r="N6" i="8"/>
  <c r="C6" i="8"/>
  <c r="N5" i="8"/>
  <c r="N4" i="8"/>
  <c r="H4" i="8"/>
  <c r="N3" i="8"/>
  <c r="B3" i="8"/>
  <c r="Q39" i="7"/>
  <c r="O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D26" i="7"/>
  <c r="C26" i="7"/>
  <c r="N25" i="7"/>
  <c r="N24" i="7"/>
  <c r="N23" i="7"/>
  <c r="N22" i="7"/>
  <c r="N21" i="7"/>
  <c r="N20" i="7"/>
  <c r="N19" i="7"/>
  <c r="N18" i="7"/>
  <c r="E28" i="7"/>
  <c r="N17" i="7"/>
  <c r="N16" i="7"/>
  <c r="N15" i="7"/>
  <c r="N14" i="7"/>
  <c r="N13" i="7"/>
  <c r="N12" i="7"/>
  <c r="C12" i="7"/>
  <c r="N11" i="7"/>
  <c r="N10" i="7"/>
  <c r="N9" i="7"/>
  <c r="N8" i="7"/>
  <c r="N7" i="7"/>
  <c r="N6" i="7"/>
  <c r="N5" i="7"/>
  <c r="N4" i="7"/>
  <c r="H4" i="7"/>
  <c r="N3" i="7"/>
  <c r="B3" i="7"/>
  <c r="Q39" i="6"/>
  <c r="O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E26" i="6"/>
  <c r="D26" i="6"/>
  <c r="C26" i="6"/>
  <c r="N25" i="6"/>
  <c r="N24" i="6"/>
  <c r="E24" i="6"/>
  <c r="N23" i="6"/>
  <c r="N22" i="6"/>
  <c r="N21" i="6"/>
  <c r="N20" i="6"/>
  <c r="N19" i="6"/>
  <c r="N18" i="6"/>
  <c r="E18" i="6"/>
  <c r="N17" i="6"/>
  <c r="N16" i="6"/>
  <c r="N15" i="6"/>
  <c r="N14" i="6"/>
  <c r="N13" i="6"/>
  <c r="N12" i="6"/>
  <c r="C12" i="6"/>
  <c r="N11" i="6"/>
  <c r="N10" i="6"/>
  <c r="N9" i="6"/>
  <c r="N8" i="6"/>
  <c r="N7" i="6"/>
  <c r="N6" i="6"/>
  <c r="N5" i="6"/>
  <c r="N4" i="6"/>
  <c r="H4" i="6"/>
  <c r="N3" i="6"/>
  <c r="B3" i="6"/>
  <c r="Q39" i="5"/>
  <c r="O39" i="5"/>
  <c r="N38" i="5"/>
  <c r="N37" i="5"/>
  <c r="N36" i="5"/>
  <c r="N35" i="5"/>
  <c r="N34" i="5"/>
  <c r="N33" i="5"/>
  <c r="N32" i="5"/>
  <c r="E32" i="5"/>
  <c r="N31" i="5"/>
  <c r="N30" i="5"/>
  <c r="N29" i="5"/>
  <c r="N28" i="5"/>
  <c r="N27" i="5"/>
  <c r="N26" i="5"/>
  <c r="D26" i="5"/>
  <c r="N25" i="5"/>
  <c r="N24" i="5"/>
  <c r="N23" i="5"/>
  <c r="N22" i="5"/>
  <c r="E22" i="5"/>
  <c r="N21" i="5"/>
  <c r="N20" i="5"/>
  <c r="N19" i="5"/>
  <c r="N18" i="5"/>
  <c r="E18" i="5"/>
  <c r="E28" i="5" s="1"/>
  <c r="N17" i="5"/>
  <c r="N16" i="5"/>
  <c r="N15" i="5"/>
  <c r="N14" i="5"/>
  <c r="N13" i="5"/>
  <c r="N12" i="5"/>
  <c r="C12" i="5"/>
  <c r="N11" i="5"/>
  <c r="N10" i="5"/>
  <c r="N9" i="5"/>
  <c r="N8" i="5"/>
  <c r="N7" i="5"/>
  <c r="N6" i="5"/>
  <c r="C6" i="5"/>
  <c r="N5" i="5"/>
  <c r="N4" i="5"/>
  <c r="H4" i="5"/>
  <c r="N3" i="5"/>
  <c r="B3" i="5"/>
  <c r="Q39" i="4"/>
  <c r="O39" i="4"/>
  <c r="N38" i="4"/>
  <c r="N37" i="4"/>
  <c r="N36" i="4"/>
  <c r="N35" i="4"/>
  <c r="N34" i="4"/>
  <c r="N33" i="4"/>
  <c r="N32" i="4"/>
  <c r="E32" i="4"/>
  <c r="N31" i="4"/>
  <c r="N30" i="4"/>
  <c r="N29" i="4"/>
  <c r="N28" i="4"/>
  <c r="N27" i="4"/>
  <c r="N26" i="4"/>
  <c r="N25" i="4"/>
  <c r="N24" i="4"/>
  <c r="N23" i="4"/>
  <c r="N22" i="4"/>
  <c r="E22" i="4"/>
  <c r="N21" i="4"/>
  <c r="N20" i="4"/>
  <c r="N19" i="4"/>
  <c r="N18" i="4"/>
  <c r="E18" i="4"/>
  <c r="E28" i="4" s="1"/>
  <c r="N17" i="4"/>
  <c r="N16" i="4"/>
  <c r="N15" i="4"/>
  <c r="N14" i="4"/>
  <c r="N13" i="4"/>
  <c r="N12" i="4"/>
  <c r="C12" i="4"/>
  <c r="N11" i="4"/>
  <c r="N10" i="4"/>
  <c r="N9" i="4"/>
  <c r="N8" i="4"/>
  <c r="N7" i="4"/>
  <c r="N6" i="4"/>
  <c r="C6" i="4"/>
  <c r="N5" i="4"/>
  <c r="N4" i="4"/>
  <c r="H4" i="4"/>
  <c r="N3" i="4"/>
  <c r="B3" i="4"/>
  <c r="Q39" i="3"/>
  <c r="O39" i="3"/>
  <c r="N38" i="3"/>
  <c r="N37" i="3"/>
  <c r="N36" i="3"/>
  <c r="N35" i="3"/>
  <c r="N34" i="3"/>
  <c r="N33" i="3"/>
  <c r="N32" i="3"/>
  <c r="E32" i="3"/>
  <c r="N31" i="3"/>
  <c r="N30" i="3"/>
  <c r="N29" i="3"/>
  <c r="N28" i="3"/>
  <c r="E28" i="3"/>
  <c r="N27" i="3"/>
  <c r="N26" i="3"/>
  <c r="N25" i="3"/>
  <c r="N24" i="3"/>
  <c r="N23" i="3"/>
  <c r="N22" i="3"/>
  <c r="E22" i="3"/>
  <c r="N21" i="3"/>
  <c r="N20" i="3"/>
  <c r="N19" i="3"/>
  <c r="N18" i="3"/>
  <c r="N17" i="3"/>
  <c r="N16" i="3"/>
  <c r="N15" i="3"/>
  <c r="N14" i="3"/>
  <c r="N13" i="3"/>
  <c r="N12" i="3"/>
  <c r="C12" i="3"/>
  <c r="N11" i="3"/>
  <c r="N10" i="3"/>
  <c r="N9" i="3"/>
  <c r="N8" i="3"/>
  <c r="N7" i="3"/>
  <c r="N6" i="3"/>
  <c r="C6" i="3"/>
  <c r="N5" i="3"/>
  <c r="N4" i="3"/>
  <c r="H4" i="3"/>
  <c r="N3" i="3"/>
  <c r="B3" i="3"/>
  <c r="Q39" i="2"/>
  <c r="O39" i="2"/>
  <c r="N38" i="2"/>
  <c r="N37" i="2"/>
  <c r="N36" i="2"/>
  <c r="N35" i="2"/>
  <c r="N34" i="2"/>
  <c r="N33" i="2"/>
  <c r="N32" i="2"/>
  <c r="F32" i="2"/>
  <c r="N31" i="2"/>
  <c r="N30" i="2"/>
  <c r="N29" i="2"/>
  <c r="N28" i="2"/>
  <c r="N27" i="2"/>
  <c r="N26" i="2"/>
  <c r="D26" i="2"/>
  <c r="N25" i="2"/>
  <c r="N24" i="2"/>
  <c r="N23" i="2"/>
  <c r="N22" i="2"/>
  <c r="F22" i="2"/>
  <c r="N21" i="2"/>
  <c r="N20" i="2"/>
  <c r="N19" i="2"/>
  <c r="N18" i="2"/>
  <c r="F28" i="2"/>
  <c r="N17" i="2"/>
  <c r="N16" i="2"/>
  <c r="N15" i="2"/>
  <c r="N14" i="2"/>
  <c r="N13" i="2"/>
  <c r="N12" i="2"/>
  <c r="N11" i="2"/>
  <c r="N10" i="2"/>
  <c r="N9" i="2"/>
  <c r="N8" i="2"/>
  <c r="N7" i="2"/>
  <c r="N6" i="2"/>
  <c r="D6" i="2"/>
  <c r="N5" i="2"/>
  <c r="N4" i="2"/>
  <c r="G4" i="2"/>
  <c r="N3" i="2"/>
  <c r="B3" i="2"/>
  <c r="Q39" i="1"/>
  <c r="O39" i="1"/>
  <c r="N38" i="1"/>
  <c r="N37" i="1"/>
  <c r="N36" i="1"/>
  <c r="N35" i="1"/>
  <c r="N34" i="1"/>
  <c r="N33" i="1"/>
  <c r="N32" i="1"/>
  <c r="E32" i="1"/>
  <c r="P7" i="37" s="1"/>
  <c r="N31" i="1"/>
  <c r="N30" i="1"/>
  <c r="N29" i="1"/>
  <c r="N28" i="1"/>
  <c r="N27" i="1"/>
  <c r="N26" i="1"/>
  <c r="N25" i="1"/>
  <c r="N24" i="1"/>
  <c r="N23" i="1"/>
  <c r="N22" i="1"/>
  <c r="F22" i="26"/>
  <c r="N21" i="1"/>
  <c r="N20" i="1"/>
  <c r="N19" i="1"/>
  <c r="N18" i="1"/>
  <c r="P3" i="37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F30" i="18" l="1"/>
  <c r="K5" i="37"/>
  <c r="Q5" i="37" s="1"/>
  <c r="E20" i="3"/>
  <c r="E30" i="3" s="1"/>
  <c r="E34" i="3" s="1"/>
  <c r="K24" i="37"/>
  <c r="Q24" i="37" s="1"/>
  <c r="F20" i="22"/>
  <c r="F30" i="22" s="1"/>
  <c r="F34" i="22" s="1"/>
  <c r="K27" i="37"/>
  <c r="Q27" i="37" s="1"/>
  <c r="F20" i="25"/>
  <c r="K23" i="37"/>
  <c r="Q23" i="37" s="1"/>
  <c r="F20" i="21"/>
  <c r="K15" i="37"/>
  <c r="F20" i="13"/>
  <c r="K11" i="37"/>
  <c r="Q11" i="37" s="1"/>
  <c r="E20" i="9"/>
  <c r="E30" i="9" s="1"/>
  <c r="E34" i="9" s="1"/>
  <c r="N39" i="37"/>
  <c r="K26" i="37"/>
  <c r="Q26" i="37" s="1"/>
  <c r="F20" i="24"/>
  <c r="F30" i="24" s="1"/>
  <c r="F34" i="24" s="1"/>
  <c r="K22" i="37"/>
  <c r="Q22" i="37" s="1"/>
  <c r="F20" i="20"/>
  <c r="F30" i="20" s="1"/>
  <c r="F34" i="20" s="1"/>
  <c r="K18" i="37"/>
  <c r="Q18" i="37" s="1"/>
  <c r="F20" i="16"/>
  <c r="K14" i="37"/>
  <c r="Q14" i="37" s="1"/>
  <c r="F20" i="12"/>
  <c r="K10" i="37"/>
  <c r="Q10" i="37" s="1"/>
  <c r="E20" i="8"/>
  <c r="F39" i="37"/>
  <c r="J54" i="37" s="1"/>
  <c r="H6" i="37"/>
  <c r="K6" i="37" s="1"/>
  <c r="Q6" i="37" s="1"/>
  <c r="F16" i="28"/>
  <c r="F16" i="23"/>
  <c r="F16" i="24"/>
  <c r="F16" i="36"/>
  <c r="F16" i="29"/>
  <c r="F16" i="15"/>
  <c r="E16" i="10"/>
  <c r="E16" i="11"/>
  <c r="F16" i="14"/>
  <c r="F16" i="32"/>
  <c r="G51" i="37"/>
  <c r="H53" i="37"/>
  <c r="E16" i="8"/>
  <c r="F16" i="34"/>
  <c r="E16" i="1"/>
  <c r="E16" i="7"/>
  <c r="F16" i="17"/>
  <c r="F16" i="26"/>
  <c r="F16" i="2"/>
  <c r="E16" i="6"/>
  <c r="F16" i="21"/>
  <c r="E16" i="5"/>
  <c r="F16" i="18"/>
  <c r="K28" i="37"/>
  <c r="Q28" i="37" s="1"/>
  <c r="F20" i="27"/>
  <c r="F20" i="17"/>
  <c r="F16" i="30"/>
  <c r="K17" i="37"/>
  <c r="Q17" i="37" s="1"/>
  <c r="K21" i="37"/>
  <c r="Q21" i="37" s="1"/>
  <c r="S21" i="37" s="1"/>
  <c r="K4" i="37"/>
  <c r="Q4" i="37" s="1"/>
  <c r="X4" i="37" s="1"/>
  <c r="F30" i="2"/>
  <c r="F34" i="2" s="1"/>
  <c r="K13" i="37"/>
  <c r="Q13" i="37" s="1"/>
  <c r="K30" i="37"/>
  <c r="F20" i="28"/>
  <c r="K36" i="37"/>
  <c r="Q36" i="37" s="1"/>
  <c r="F20" i="34"/>
  <c r="K9" i="37"/>
  <c r="Q9" i="37" s="1"/>
  <c r="K12" i="37"/>
  <c r="Q12" i="37" s="1"/>
  <c r="E20" i="10"/>
  <c r="E30" i="10" s="1"/>
  <c r="E34" i="10" s="1"/>
  <c r="K31" i="37"/>
  <c r="Q31" i="37" s="1"/>
  <c r="K33" i="37"/>
  <c r="X33" i="37" s="1"/>
  <c r="K35" i="37"/>
  <c r="Q35" i="37" s="1"/>
  <c r="F20" i="33"/>
  <c r="K37" i="37"/>
  <c r="Q37" i="37" s="1"/>
  <c r="X37" i="37" s="1"/>
  <c r="K16" i="37"/>
  <c r="Q16" i="37" s="1"/>
  <c r="K20" i="37"/>
  <c r="Q20" i="37" s="1"/>
  <c r="F20" i="23"/>
  <c r="K8" i="37"/>
  <c r="Q8" i="37" s="1"/>
  <c r="X8" i="37" s="1"/>
  <c r="E30" i="5"/>
  <c r="E34" i="5" s="1"/>
  <c r="E16" i="4"/>
  <c r="F16" i="12"/>
  <c r="F16" i="19"/>
  <c r="F16" i="25"/>
  <c r="F20" i="36"/>
  <c r="E22" i="11"/>
  <c r="E30" i="11" s="1"/>
  <c r="E34" i="11" s="1"/>
  <c r="F22" i="13"/>
  <c r="F22" i="14"/>
  <c r="F30" i="14" s="1"/>
  <c r="F34" i="14" s="1"/>
  <c r="F22" i="16"/>
  <c r="F22" i="18"/>
  <c r="F34" i="18" s="1"/>
  <c r="F28" i="23"/>
  <c r="Q25" i="37" s="1"/>
  <c r="F16" i="27"/>
  <c r="K7" i="37"/>
  <c r="Q7" i="37" s="1"/>
  <c r="Q15" i="37"/>
  <c r="Q19" i="37"/>
  <c r="F20" i="30"/>
  <c r="K32" i="37"/>
  <c r="Q32" i="37" s="1"/>
  <c r="F28" i="28"/>
  <c r="K34" i="37"/>
  <c r="Q34" i="37" s="1"/>
  <c r="E30" i="1"/>
  <c r="E34" i="1" s="1"/>
  <c r="F22" i="35"/>
  <c r="F30" i="35" s="1"/>
  <c r="F34" i="35" s="1"/>
  <c r="F22" i="33"/>
  <c r="F22" i="31"/>
  <c r="F22" i="29"/>
  <c r="F30" i="29" s="1"/>
  <c r="F34" i="29" s="1"/>
  <c r="F22" i="36"/>
  <c r="F22" i="34"/>
  <c r="F22" i="32"/>
  <c r="F22" i="30"/>
  <c r="F22" i="28"/>
  <c r="E22" i="6"/>
  <c r="E30" i="6" s="1"/>
  <c r="E34" i="6" s="1"/>
  <c r="E22" i="7"/>
  <c r="E30" i="7" s="1"/>
  <c r="E34" i="7" s="1"/>
  <c r="F22" i="12"/>
  <c r="F30" i="12" s="1"/>
  <c r="F34" i="12" s="1"/>
  <c r="F22" i="21"/>
  <c r="F22" i="23"/>
  <c r="F22" i="25"/>
  <c r="F16" i="33"/>
  <c r="K29" i="37"/>
  <c r="Q29" i="37" s="1"/>
  <c r="F30" i="26"/>
  <c r="F34" i="26" s="1"/>
  <c r="Q38" i="37"/>
  <c r="E22" i="8"/>
  <c r="F22" i="15"/>
  <c r="F22" i="17"/>
  <c r="F22" i="19"/>
  <c r="F16" i="31"/>
  <c r="K3" i="37"/>
  <c r="G53" i="37"/>
  <c r="F30" i="25" l="1"/>
  <c r="F34" i="25" s="1"/>
  <c r="F30" i="13"/>
  <c r="F34" i="13" s="1"/>
  <c r="H39" i="37"/>
  <c r="J43" i="37" s="1"/>
  <c r="M44" i="37" s="1"/>
  <c r="E20" i="4"/>
  <c r="E30" i="4" s="1"/>
  <c r="E34" i="4" s="1"/>
  <c r="F30" i="30"/>
  <c r="F34" i="30" s="1"/>
  <c r="F30" i="32"/>
  <c r="F34" i="32" s="1"/>
  <c r="F30" i="33"/>
  <c r="F34" i="33" s="1"/>
  <c r="F30" i="34"/>
  <c r="F34" i="34" s="1"/>
  <c r="E30" i="8"/>
  <c r="E34" i="8" s="1"/>
  <c r="F30" i="16"/>
  <c r="F34" i="16" s="1"/>
  <c r="X21" i="37"/>
  <c r="F30" i="31"/>
  <c r="F34" i="31" s="1"/>
  <c r="S33" i="37"/>
  <c r="F30" i="17"/>
  <c r="F34" i="17" s="1"/>
  <c r="F30" i="28"/>
  <c r="F34" i="28" s="1"/>
  <c r="S8" i="37"/>
  <c r="F30" i="15"/>
  <c r="F34" i="15" s="1"/>
  <c r="F30" i="27"/>
  <c r="F34" i="27" s="1"/>
  <c r="H34" i="27" s="1"/>
  <c r="F30" i="21"/>
  <c r="F34" i="21" s="1"/>
  <c r="X17" i="37"/>
  <c r="S17" i="37"/>
  <c r="F30" i="23"/>
  <c r="F34" i="23" s="1"/>
  <c r="Q30" i="37"/>
  <c r="X30" i="37" s="1"/>
  <c r="F50" i="37"/>
  <c r="F51" i="37" s="1"/>
  <c r="X13" i="37"/>
  <c r="S13" i="37"/>
  <c r="F30" i="19"/>
  <c r="F34" i="19" s="1"/>
  <c r="F30" i="36"/>
  <c r="F34" i="36" s="1"/>
  <c r="S37" i="37"/>
  <c r="S4" i="37"/>
  <c r="X36" i="37"/>
  <c r="S36" i="37"/>
  <c r="S35" i="37"/>
  <c r="X35" i="37"/>
  <c r="X10" i="37"/>
  <c r="S10" i="37"/>
  <c r="P39" i="37"/>
  <c r="X9" i="37"/>
  <c r="S9" i="37"/>
  <c r="X32" i="37"/>
  <c r="S32" i="37"/>
  <c r="X18" i="37"/>
  <c r="S18" i="37"/>
  <c r="X20" i="37"/>
  <c r="S20" i="37"/>
  <c r="S15" i="37"/>
  <c r="X15" i="37"/>
  <c r="X5" i="37"/>
  <c r="S5" i="37"/>
  <c r="X16" i="37"/>
  <c r="S16" i="37"/>
  <c r="X34" i="37"/>
  <c r="S34" i="37"/>
  <c r="X31" i="37"/>
  <c r="S31" i="37"/>
  <c r="X22" i="37"/>
  <c r="S22" i="37"/>
  <c r="X14" i="37"/>
  <c r="S14" i="37"/>
  <c r="X25" i="37"/>
  <c r="S25" i="37"/>
  <c r="X24" i="37"/>
  <c r="S24" i="37"/>
  <c r="X26" i="37"/>
  <c r="S26" i="37"/>
  <c r="S23" i="37"/>
  <c r="X23" i="37"/>
  <c r="S7" i="37"/>
  <c r="X7" i="37"/>
  <c r="X29" i="37"/>
  <c r="T29" i="37"/>
  <c r="T39" i="37" s="1"/>
  <c r="S29" i="37"/>
  <c r="Q3" i="37"/>
  <c r="K39" i="37"/>
  <c r="X38" i="37"/>
  <c r="S38" i="37"/>
  <c r="X28" i="37"/>
  <c r="S28" i="37"/>
  <c r="X12" i="37"/>
  <c r="S12" i="37"/>
  <c r="S6" i="37"/>
  <c r="X6" i="37"/>
  <c r="F48" i="37"/>
  <c r="G48" i="37" s="1"/>
  <c r="G47" i="37"/>
  <c r="G46" i="37" s="1"/>
  <c r="J46" i="37" s="1"/>
  <c r="S27" i="37"/>
  <c r="X27" i="37"/>
  <c r="S19" i="37"/>
  <c r="X19" i="37"/>
  <c r="S11" i="37"/>
  <c r="X11" i="37"/>
  <c r="S30" i="37" l="1"/>
  <c r="S3" i="37"/>
  <c r="Q39" i="37"/>
  <c r="S39" i="37" l="1"/>
  <c r="X39" i="37"/>
  <c r="Q46" i="37"/>
</calcChain>
</file>

<file path=xl/sharedStrings.xml><?xml version="1.0" encoding="utf-8"?>
<sst xmlns="http://schemas.openxmlformats.org/spreadsheetml/2006/main" count="2242" uniqueCount="265">
  <si>
    <t>WATER BILL</t>
  </si>
  <si>
    <t>ISSUE DATE</t>
  </si>
  <si>
    <t>LAST PAY DATE</t>
  </si>
  <si>
    <t>PREVIOUS READING</t>
  </si>
  <si>
    <t>CURRENT READING</t>
  </si>
  <si>
    <t>CONSUMPTION</t>
  </si>
  <si>
    <t>BILL NO.</t>
  </si>
  <si>
    <t>TENANT NAME</t>
  </si>
  <si>
    <t>LAST ACCOUNT</t>
  </si>
  <si>
    <t>MONTH BILL</t>
  </si>
  <si>
    <t>ADJUSTMENT</t>
  </si>
  <si>
    <t>TOTAL PAYABLE</t>
  </si>
  <si>
    <t>NOTE</t>
  </si>
  <si>
    <t>A receipt will be issued upon bank confirmation of the transaction.</t>
  </si>
  <si>
    <t xml:space="preserve">         Consolidated Bank Account</t>
  </si>
  <si>
    <t xml:space="preserve">         Kitengela Branch</t>
  </si>
  <si>
    <t>NB: Kindly give the management atleast  two (2) months prior notice incase you intend to terminate the tenancy for ease of logisitics.</t>
  </si>
  <si>
    <t>4A</t>
  </si>
  <si>
    <t>KSHS.</t>
  </si>
  <si>
    <t>Units</t>
  </si>
  <si>
    <t>kshs.</t>
  </si>
  <si>
    <t>6B</t>
  </si>
  <si>
    <t>7B</t>
  </si>
  <si>
    <t>8A</t>
  </si>
  <si>
    <t>9A</t>
  </si>
  <si>
    <t>10A</t>
  </si>
  <si>
    <t>11A</t>
  </si>
  <si>
    <t>12A</t>
  </si>
  <si>
    <t>13B</t>
  </si>
  <si>
    <t>14B</t>
  </si>
  <si>
    <t>1A</t>
  </si>
  <si>
    <t>Kshs.</t>
  </si>
  <si>
    <t>CONSUMPTION (Units)</t>
  </si>
  <si>
    <t xml:space="preserve">PREVIOUS READING </t>
  </si>
  <si>
    <t xml:space="preserve">MONTH HOUSE RENT </t>
  </si>
  <si>
    <t>3A</t>
  </si>
  <si>
    <t>2A</t>
  </si>
  <si>
    <t>5A</t>
  </si>
  <si>
    <t>E &amp; O E</t>
  </si>
  <si>
    <t>SECURITY</t>
  </si>
  <si>
    <t>LAST ACCOUNT B/F</t>
  </si>
  <si>
    <t>RENT</t>
  </si>
  <si>
    <t>TOTAL</t>
  </si>
  <si>
    <t>PAID</t>
  </si>
  <si>
    <t>P.O BOX 9473-00200 NAIROBI</t>
  </si>
  <si>
    <t>PERIOD</t>
  </si>
  <si>
    <t>PREVIOUS</t>
  </si>
  <si>
    <t>CURRENT</t>
  </si>
  <si>
    <t>READING</t>
  </si>
  <si>
    <t>HOUSE</t>
  </si>
  <si>
    <t>Fixed Charge</t>
  </si>
  <si>
    <t>RATE</t>
  </si>
  <si>
    <t>INTEREST ON ARREARS</t>
  </si>
  <si>
    <t>JAMES NGUGI</t>
  </si>
  <si>
    <t xml:space="preserve"> </t>
  </si>
  <si>
    <t>MONTH Water BILL</t>
  </si>
  <si>
    <t>Total H2O Bill</t>
  </si>
  <si>
    <t xml:space="preserve">         A/C  NO. 10171202000107</t>
  </si>
  <si>
    <t>18A</t>
  </si>
  <si>
    <t>15A</t>
  </si>
  <si>
    <t>16A</t>
  </si>
  <si>
    <t>17A</t>
  </si>
  <si>
    <t>19A</t>
  </si>
  <si>
    <t>20B</t>
  </si>
  <si>
    <t>21B</t>
  </si>
  <si>
    <t>22A</t>
  </si>
  <si>
    <t>23A</t>
  </si>
  <si>
    <t>24A</t>
  </si>
  <si>
    <t>25A</t>
  </si>
  <si>
    <t>26A</t>
  </si>
  <si>
    <t>28B</t>
  </si>
  <si>
    <t>27B</t>
  </si>
  <si>
    <t>29A</t>
  </si>
  <si>
    <t>30A</t>
  </si>
  <si>
    <t>31A</t>
  </si>
  <si>
    <t>32A</t>
  </si>
  <si>
    <t>33A</t>
  </si>
  <si>
    <t>34B</t>
  </si>
  <si>
    <t>35B</t>
  </si>
  <si>
    <t>ADJUSTMENT-interest on arrears</t>
  </si>
  <si>
    <t xml:space="preserve">      Frebazeth Company Limited</t>
  </si>
  <si>
    <t xml:space="preserve"> A reconnection fee of Kshs. 1,000 will be charged and paid before supply is reconnected.</t>
  </si>
  <si>
    <t>Rent is due on or before 5th of the month. By 7th day, any rent not paid will attract interest at 2% per day.</t>
  </si>
  <si>
    <t xml:space="preserve"> Amounts not cleared by last pay date will render to water disconnection.</t>
  </si>
  <si>
    <t>(Kindly indicate your Name &amp; House number on the deposit slip &amp; inform the Bank teller to capture it.)</t>
  </si>
  <si>
    <t>HOUSE NUMBER</t>
  </si>
  <si>
    <t>HOUSE NUMBER:</t>
  </si>
  <si>
    <t>HOUSE NUMBER;</t>
  </si>
  <si>
    <t>HOUSE  NUMBER:</t>
  </si>
  <si>
    <t>INTEREST ON LATE PAYMENT</t>
  </si>
  <si>
    <t>AMOUNT KSHS</t>
  </si>
  <si>
    <t>Amount (Kshs.)</t>
  </si>
  <si>
    <t>Amount (Kshs)</t>
  </si>
  <si>
    <t>Amount(Kshs)</t>
  </si>
  <si>
    <t>VARIANCE</t>
  </si>
  <si>
    <t>a)</t>
  </si>
  <si>
    <t>b)</t>
  </si>
  <si>
    <t>c)</t>
  </si>
  <si>
    <t>d)</t>
  </si>
  <si>
    <t>e)</t>
  </si>
  <si>
    <t>f)</t>
  </si>
  <si>
    <t>g)</t>
  </si>
  <si>
    <t>ANY MINOR REPAIRS OCCURING AFTER 3 MONTHS OF OCCUPANCY ARE TENANT'S RESPONSIBILITY AS PER TENANCY AGREEMENT.</t>
  </si>
  <si>
    <t>ADJUSTMENT (Interest late payment)</t>
  </si>
  <si>
    <t>Penalty &amp; Interest late payment</t>
  </si>
  <si>
    <t>ADJUSTMENT-Interest on arrears</t>
  </si>
  <si>
    <t>0775203183</t>
  </si>
  <si>
    <t>0722340955</t>
  </si>
  <si>
    <t>0721324583</t>
  </si>
  <si>
    <t>0723662965</t>
  </si>
  <si>
    <t>TOTAL SALT WATER JOYCE KAMAU</t>
  </si>
  <si>
    <t>EPZ WATER BILL AMOUNT</t>
  </si>
  <si>
    <t xml:space="preserve">INTEREST LATE PAYMENT </t>
  </si>
  <si>
    <t>PUMP/POWER CHARGES</t>
  </si>
  <si>
    <t>REMARKS</t>
  </si>
  <si>
    <t>Interest on rent arrears</t>
  </si>
  <si>
    <t>ADJUSTMENT-INTEREST ON ARREARS</t>
  </si>
  <si>
    <t>BAL C/F</t>
  </si>
  <si>
    <t>BAL B/F</t>
  </si>
  <si>
    <t>BALANCE C/F</t>
  </si>
  <si>
    <t>AMOUNT DUE</t>
  </si>
  <si>
    <t>AMOUNT PAYABLE</t>
  </si>
  <si>
    <t>KSHS</t>
  </si>
  <si>
    <t>INTEREST &amp; PENALTY</t>
  </si>
  <si>
    <t>ADJUSTMENT-INTEREST LATE PAYMENT</t>
  </si>
  <si>
    <t>INTEREST LATE PAYMENT</t>
  </si>
  <si>
    <t>EPZ BILL</t>
  </si>
  <si>
    <t>PAY &amp; VACATE, REPAIRS CHARGES OF 8,400/- REMAINS TILL NEW TENANT LEAVES, THEN WE REPAIR</t>
  </si>
  <si>
    <t>LATE PAY INTEREST</t>
  </si>
  <si>
    <t>NAMES</t>
  </si>
  <si>
    <t xml:space="preserve">         A/C  NO. 10171202000107/ 0120285090900</t>
  </si>
  <si>
    <t xml:space="preserve">   </t>
  </si>
  <si>
    <t>PAYMENTS</t>
  </si>
  <si>
    <t>CBKL</t>
  </si>
  <si>
    <t>RDTM</t>
  </si>
  <si>
    <t>balance 6/6/2016</t>
  </si>
  <si>
    <t>KC</t>
  </si>
  <si>
    <t>36B</t>
  </si>
  <si>
    <t>37B</t>
  </si>
  <si>
    <t>A</t>
  </si>
  <si>
    <r>
      <t xml:space="preserve">The water bills are payable through the same account for monthly rent </t>
    </r>
    <r>
      <rPr>
        <b/>
        <sz val="11"/>
        <rFont val="Calibri"/>
      </rPr>
      <t>strictly through:</t>
    </r>
  </si>
  <si>
    <t>WAGES-JOSHUA</t>
  </si>
  <si>
    <t>ESTIMATE</t>
  </si>
  <si>
    <t>JOEL MAINA NDUNGU</t>
  </si>
  <si>
    <t>OLE SAMEDHA APARTMENTS-Kitengela</t>
  </si>
  <si>
    <t>5,12,16</t>
  </si>
  <si>
    <t>Any default in Rent payment by 10th of the following month the house shall be locked without notice and belongings removed for re-letting.</t>
  </si>
  <si>
    <t>FATUMA ZAWADI</t>
  </si>
  <si>
    <t>BILL</t>
  </si>
  <si>
    <t>LOSS</t>
  </si>
  <si>
    <t>PENALTY LATE PAYMENT</t>
  </si>
  <si>
    <t>SAMWEL MUGO</t>
  </si>
  <si>
    <t>salary</t>
  </si>
  <si>
    <t>ECBKL 28/2/2018</t>
  </si>
  <si>
    <t>EARLY DISCOUNT 3%</t>
  </si>
  <si>
    <t>UNITS</t>
  </si>
  <si>
    <t>MAY</t>
  </si>
  <si>
    <t>JUNE</t>
  </si>
  <si>
    <t>JUL</t>
  </si>
  <si>
    <t>TAX DUE</t>
  </si>
  <si>
    <t>VAR</t>
  </si>
  <si>
    <t>CONSUMED UNITS</t>
  </si>
  <si>
    <t>a</t>
  </si>
  <si>
    <t xml:space="preserve"> MPESA, PAYBILL CONSOL BANK 508400 A/C NO. 10171202000107, Add 40/= for charges</t>
  </si>
  <si>
    <t>MIKE MUTISYA</t>
  </si>
  <si>
    <t>The water bills are payable through the same account for monthly rent strictly through:</t>
  </si>
  <si>
    <t>cost @160/=</t>
  </si>
  <si>
    <t>MARY MUTHONI</t>
  </si>
  <si>
    <t>STAIRCASE WASHING &amp;security caretaker&amp;Watering flowers</t>
  </si>
  <si>
    <t>Expenditure of plot</t>
  </si>
  <si>
    <t>GARBAGE FEE</t>
  </si>
  <si>
    <t>G</t>
  </si>
  <si>
    <t>WATER IN 3TANKS YET TO CONSUMED</t>
  </si>
  <si>
    <t xml:space="preserve">              </t>
  </si>
  <si>
    <t>MOSES NJUGUNA</t>
  </si>
  <si>
    <t>NEW TENANT</t>
  </si>
  <si>
    <t>STACY</t>
  </si>
  <si>
    <t>JAMES</t>
  </si>
  <si>
    <t>Hse No.</t>
  </si>
  <si>
    <t xml:space="preserve">MARY </t>
  </si>
  <si>
    <t>GEOFFREY</t>
  </si>
  <si>
    <t>DAGLOUS</t>
  </si>
  <si>
    <t>cost @200/=</t>
  </si>
  <si>
    <t>GODFREY IRONGO</t>
  </si>
  <si>
    <t>ASHA</t>
  </si>
  <si>
    <t>……………</t>
  </si>
  <si>
    <t>OMAR</t>
  </si>
  <si>
    <t>LIMO</t>
  </si>
  <si>
    <t>HARRIET</t>
  </si>
  <si>
    <t>VALARY</t>
  </si>
  <si>
    <t>KAMAU</t>
  </si>
  <si>
    <t>TITUS</t>
  </si>
  <si>
    <t>PAUL MBOK</t>
  </si>
  <si>
    <t>CATE</t>
  </si>
  <si>
    <t>SAM</t>
  </si>
  <si>
    <t>CHERRYL</t>
  </si>
  <si>
    <t>READING BY TABIBU ON 28 AUGUST 2024</t>
  </si>
  <si>
    <t>BILL 0CTOBER</t>
  </si>
  <si>
    <t xml:space="preserve">         PAY BILL 4139271</t>
  </si>
  <si>
    <t>PAY BILL 4139271</t>
  </si>
  <si>
    <t>PAY  BILL 4139271</t>
  </si>
  <si>
    <t>PAYBILL 4139271</t>
  </si>
  <si>
    <t>ALICE</t>
  </si>
  <si>
    <t>JOASH</t>
  </si>
  <si>
    <t>security</t>
  </si>
  <si>
    <t xml:space="preserve">MAUREEN </t>
  </si>
  <si>
    <t>PHONE NO</t>
  </si>
  <si>
    <t>MAUREEN</t>
  </si>
  <si>
    <t>AVRIL</t>
  </si>
  <si>
    <t>EVERLINE</t>
  </si>
  <si>
    <t>LAST PDY</t>
  </si>
  <si>
    <t>ISUE DATE</t>
  </si>
  <si>
    <t>PAY BILL  4139271</t>
  </si>
  <si>
    <t>ACC NO 19A</t>
  </si>
  <si>
    <t>JACK</t>
  </si>
  <si>
    <t>OWEN</t>
  </si>
  <si>
    <t>NAOMI</t>
  </si>
  <si>
    <t>MAGRET</t>
  </si>
  <si>
    <t>valentine</t>
  </si>
  <si>
    <t>TIMOTHY</t>
  </si>
  <si>
    <t>O731078405</t>
  </si>
  <si>
    <t>phone no</t>
  </si>
  <si>
    <t>o720304145</t>
  </si>
  <si>
    <t>o721725518</t>
  </si>
  <si>
    <t>o796411721</t>
  </si>
  <si>
    <t>phone  no</t>
  </si>
  <si>
    <t>o704630666</t>
  </si>
  <si>
    <t>o719702040</t>
  </si>
  <si>
    <t>VACCANT</t>
  </si>
  <si>
    <t>27/1/2026</t>
  </si>
  <si>
    <t>ACC NO KT 1A</t>
  </si>
  <si>
    <t>ACC NO  KT 2A</t>
  </si>
  <si>
    <t>ACC NO KT 3A</t>
  </si>
  <si>
    <t>ACC NO KT  4A</t>
  </si>
  <si>
    <t>ACC NO KT 5A</t>
  </si>
  <si>
    <t>ACC NO KT 6B</t>
  </si>
  <si>
    <t>ACC NO KT 7B</t>
  </si>
  <si>
    <t>ACC NO KT 8A</t>
  </si>
  <si>
    <t>ACC NO KT 9A</t>
  </si>
  <si>
    <t>ACC NO KT 10A</t>
  </si>
  <si>
    <t>ACC NO KT 11A</t>
  </si>
  <si>
    <t>ACC NO KT 12A</t>
  </si>
  <si>
    <t>ACC NO KT 13B</t>
  </si>
  <si>
    <t>ACC NO KT 14B</t>
  </si>
  <si>
    <t>ACC NO KT 15A</t>
  </si>
  <si>
    <t>ACC NO KT 16A</t>
  </si>
  <si>
    <t>ACC NO KT 17A</t>
  </si>
  <si>
    <t>ACC NO  KT 18A</t>
  </si>
  <si>
    <t>ACC NO KT 20B</t>
  </si>
  <si>
    <t>ACC NO KT 21B</t>
  </si>
  <si>
    <t xml:space="preserve"> ACC NO KT 22A</t>
  </si>
  <si>
    <t>ACC NO KT 23A</t>
  </si>
  <si>
    <t>ACC NO KT 24A</t>
  </si>
  <si>
    <t>ACC NO KT 25A</t>
  </si>
  <si>
    <t>ACC NO KT 26A</t>
  </si>
  <si>
    <t>ACC NO KT 27B</t>
  </si>
  <si>
    <t>ACC NO KT 28A</t>
  </si>
  <si>
    <t>ACC NO KT 29A</t>
  </si>
  <si>
    <t>ACC NO KT 30A</t>
  </si>
  <si>
    <t>ACC NO KT 32A</t>
  </si>
  <si>
    <t>ACC NO KT 31A</t>
  </si>
  <si>
    <t>ACC NO KT 33A</t>
  </si>
  <si>
    <t>ACC NO KT 34B</t>
  </si>
  <si>
    <t>ACC NO KT 35B</t>
  </si>
  <si>
    <t>ACC NO KT 36A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</si>
</sst>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5" x14ac:knownFonts="1">
    <font>
      <sz val="11"/>
      <name val="Calibri"/>
    </font>
    <font>
      <sz val="11"/>
      <name val="Calibri"/>
    </font>
    <font>
      <b/>
      <sz val="18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  <font>
      <b/>
      <i/>
      <sz val="14"/>
      <color rgb="FFFF0000"/>
      <name val="Calibri"/>
    </font>
    <font>
      <b/>
      <i/>
      <sz val="11"/>
      <name val="Calibri"/>
    </font>
    <font>
      <i/>
      <sz val="11"/>
      <name val="Calibri"/>
    </font>
    <font>
      <b/>
      <sz val="25"/>
      <name val="Calibri"/>
    </font>
    <font>
      <sz val="25"/>
      <name val="Calibri"/>
    </font>
    <font>
      <sz val="14"/>
      <name val="Calibri"/>
    </font>
    <font>
      <b/>
      <sz val="14"/>
      <name val="Calibri"/>
    </font>
    <font>
      <b/>
      <i/>
      <sz val="14"/>
      <name val="Calibri"/>
    </font>
    <font>
      <i/>
      <sz val="14"/>
      <name val="Calibri"/>
    </font>
    <font>
      <sz val="11"/>
      <name val="Calibri"/>
    </font>
    <font>
      <sz val="16"/>
      <name val="Calibri"/>
    </font>
    <font>
      <b/>
      <sz val="16"/>
      <name val="Calibri"/>
    </font>
    <font>
      <sz val="16"/>
      <color rgb="FF000000"/>
      <name val="Calibri"/>
    </font>
    <font>
      <sz val="16"/>
      <color rgb="FF000000"/>
      <name val="Calibri"/>
    </font>
    <font>
      <i/>
      <sz val="16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7F7F7F"/>
      <name val="Calibri"/>
      <family val="2"/>
      <scheme val="minor"/>
    </font>
    <font>
      <b/>
      <i/>
      <sz val="11"/>
      <color rgb="FF7F7F7F"/>
      <name val="Arial Black"/>
      <family val="2"/>
    </font>
    <font>
      <sz val="8"/>
      <name val="Calibri"/>
    </font>
    <font>
      <b/>
      <sz val="18"/>
      <color theme="1"/>
      <name val="Book Antiqua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22"/>
      <name val="Calibri"/>
      <family val="2"/>
    </font>
    <font>
      <b/>
      <sz val="25"/>
      <name val="Calibri"/>
      <family val="2"/>
    </font>
    <font>
      <sz val="16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3" fontId="22" fillId="0" borderId="0">
      <protection locked="0"/>
    </xf>
    <xf numFmtId="9" fontId="1" fillId="0" borderId="0">
      <protection locked="0"/>
    </xf>
    <xf numFmtId="0" fontId="24" fillId="0" borderId="0" applyNumberFormat="0" applyFill="0" applyBorder="0" applyAlignment="0" applyProtection="0"/>
  </cellStyleXfs>
  <cellXfs count="98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/>
    <xf numFmtId="164" fontId="1" fillId="0" borderId="1" xfId="1" applyNumberFormat="1" applyFont="1" applyBorder="1" applyProtection="1"/>
    <xf numFmtId="0" fontId="6" fillId="0" borderId="1" xfId="0" applyFont="1" applyBorder="1" applyAlignment="1"/>
    <xf numFmtId="164" fontId="1" fillId="0" borderId="1" xfId="0" applyNumberFormat="1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11" fillId="0" borderId="1" xfId="0" applyFont="1" applyBorder="1" applyAlignment="1"/>
    <xf numFmtId="9" fontId="4" fillId="0" borderId="1" xfId="2" applyFont="1" applyBorder="1" applyProtection="1"/>
    <xf numFmtId="0" fontId="9" fillId="2" borderId="1" xfId="0" applyFont="1" applyFill="1" applyBorder="1" applyAlignment="1"/>
    <xf numFmtId="0" fontId="4" fillId="0" borderId="1" xfId="0" applyFont="1" applyBorder="1" applyAlignment="1">
      <alignment horizontal="left"/>
    </xf>
    <xf numFmtId="49" fontId="1" fillId="0" borderId="1" xfId="0" applyNumberFormat="1" applyFont="1" applyBorder="1" applyAlignment="1"/>
    <xf numFmtId="14" fontId="1" fillId="0" borderId="1" xfId="0" applyNumberFormat="1" applyFont="1" applyBorder="1" applyAlignment="1"/>
    <xf numFmtId="18" fontId="1" fillId="0" borderId="1" xfId="0" applyNumberFormat="1" applyFont="1" applyBorder="1" applyAlignment="1"/>
    <xf numFmtId="0" fontId="12" fillId="0" borderId="1" xfId="0" applyFont="1" applyBorder="1" applyAlignment="1"/>
    <xf numFmtId="0" fontId="12" fillId="0" borderId="0" xfId="0" applyFont="1">
      <alignment vertical="center"/>
    </xf>
    <xf numFmtId="0" fontId="13" fillId="0" borderId="1" xfId="0" applyFont="1" applyBorder="1" applyAlignment="1"/>
    <xf numFmtId="14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164" fontId="12" fillId="0" borderId="1" xfId="1" applyNumberFormat="1" applyFont="1" applyBorder="1" applyProtection="1"/>
    <xf numFmtId="164" fontId="12" fillId="0" borderId="1" xfId="0" applyNumberFormat="1" applyFont="1" applyBorder="1" applyAlignment="1"/>
    <xf numFmtId="3" fontId="12" fillId="0" borderId="1" xfId="0" applyNumberFormat="1" applyFont="1" applyBorder="1" applyAlignment="1"/>
    <xf numFmtId="0" fontId="14" fillId="0" borderId="1" xfId="0" applyFont="1" applyBorder="1" applyAlignment="1"/>
    <xf numFmtId="0" fontId="15" fillId="2" borderId="1" xfId="0" applyFont="1" applyFill="1" applyBorder="1" applyAlignment="1"/>
    <xf numFmtId="0" fontId="15" fillId="0" borderId="1" xfId="0" applyFont="1" applyBorder="1" applyAlignment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5"/>
    </xf>
    <xf numFmtId="0" fontId="9" fillId="3" borderId="1" xfId="0" applyFont="1" applyFill="1" applyBorder="1" applyAlignment="1"/>
    <xf numFmtId="0" fontId="1" fillId="3" borderId="1" xfId="0" applyFont="1" applyFill="1" applyBorder="1" applyAlignment="1"/>
    <xf numFmtId="43" fontId="4" fillId="0" borderId="1" xfId="1" applyFont="1" applyBorder="1" applyProtection="1"/>
    <xf numFmtId="43" fontId="1" fillId="0" borderId="1" xfId="0" applyNumberFormat="1" applyFont="1" applyBorder="1" applyAlignment="1"/>
    <xf numFmtId="0" fontId="16" fillId="0" borderId="1" xfId="0" applyFont="1" applyBorder="1" applyAlignment="1"/>
    <xf numFmtId="0" fontId="17" fillId="0" borderId="0" xfId="0" applyFont="1" applyAlignment="1"/>
    <xf numFmtId="164" fontId="17" fillId="0" borderId="0" xfId="1" applyNumberFormat="1" applyFont="1" applyProtection="1"/>
    <xf numFmtId="0" fontId="1" fillId="0" borderId="0" xfId="0" applyFont="1">
      <alignment vertical="center"/>
    </xf>
    <xf numFmtId="0" fontId="17" fillId="0" borderId="1" xfId="0" applyFont="1" applyBorder="1" applyAlignment="1"/>
    <xf numFmtId="0" fontId="18" fillId="0" borderId="1" xfId="0" applyFont="1" applyBorder="1" applyAlignment="1"/>
    <xf numFmtId="164" fontId="17" fillId="0" borderId="1" xfId="1" applyNumberFormat="1" applyFont="1" applyBorder="1" applyProtection="1"/>
    <xf numFmtId="0" fontId="18" fillId="0" borderId="0" xfId="0" applyFont="1" applyAlignment="1"/>
    <xf numFmtId="164" fontId="18" fillId="0" borderId="1" xfId="1" applyNumberFormat="1" applyFont="1" applyBorder="1" applyProtection="1"/>
    <xf numFmtId="164" fontId="18" fillId="0" borderId="0" xfId="1" applyNumberFormat="1" applyFont="1" applyProtection="1"/>
    <xf numFmtId="164" fontId="17" fillId="0" borderId="5" xfId="0" applyNumberFormat="1" applyFont="1" applyBorder="1" applyAlignment="1"/>
    <xf numFmtId="17" fontId="17" fillId="0" borderId="1" xfId="0" applyNumberFormat="1" applyFont="1" applyBorder="1" applyAlignment="1"/>
    <xf numFmtId="0" fontId="19" fillId="4" borderId="1" xfId="0" applyFont="1" applyFill="1" applyBorder="1" applyAlignment="1"/>
    <xf numFmtId="164" fontId="20" fillId="2" borderId="1" xfId="1" applyNumberFormat="1" applyFont="1" applyFill="1" applyBorder="1" applyProtection="1"/>
    <xf numFmtId="164" fontId="17" fillId="0" borderId="1" xfId="0" applyNumberFormat="1" applyFont="1" applyBorder="1" applyAlignment="1"/>
    <xf numFmtId="0" fontId="17" fillId="2" borderId="0" xfId="0" applyFont="1" applyFill="1" applyAlignment="1"/>
    <xf numFmtId="164" fontId="17" fillId="0" borderId="0" xfId="0" applyNumberFormat="1" applyFont="1" applyAlignment="1"/>
    <xf numFmtId="0" fontId="17" fillId="2" borderId="1" xfId="0" applyFont="1" applyFill="1" applyBorder="1" applyAlignment="1"/>
    <xf numFmtId="0" fontId="17" fillId="0" borderId="5" xfId="0" applyFont="1" applyBorder="1" applyAlignment="1"/>
    <xf numFmtId="43" fontId="17" fillId="0" borderId="1" xfId="1" applyFont="1" applyBorder="1" applyProtection="1"/>
    <xf numFmtId="0" fontId="17" fillId="0" borderId="1" xfId="0" applyFont="1" applyBorder="1" applyAlignment="1">
      <alignment horizontal="right"/>
    </xf>
    <xf numFmtId="0" fontId="21" fillId="0" borderId="1" xfId="0" applyFont="1" applyBorder="1" applyAlignment="1"/>
    <xf numFmtId="164" fontId="18" fillId="0" borderId="1" xfId="0" applyNumberFormat="1" applyFont="1" applyBorder="1" applyAlignment="1"/>
    <xf numFmtId="3" fontId="17" fillId="0" borderId="0" xfId="0" applyNumberFormat="1" applyFont="1" applyAlignment="1"/>
    <xf numFmtId="165" fontId="17" fillId="0" borderId="0" xfId="1" applyNumberFormat="1" applyFont="1" applyProtection="1"/>
    <xf numFmtId="164" fontId="22" fillId="0" borderId="0" xfId="1" applyNumberFormat="1" applyProtection="1"/>
    <xf numFmtId="164" fontId="23" fillId="0" borderId="0" xfId="1" applyNumberFormat="1" applyFont="1" applyProtection="1"/>
    <xf numFmtId="0" fontId="25" fillId="0" borderId="0" xfId="3" applyFont="1" applyAlignment="1"/>
    <xf numFmtId="14" fontId="0" fillId="0" borderId="1" xfId="0" applyNumberFormat="1" applyBorder="1" applyAlignment="1">
      <alignment horizontal="left"/>
    </xf>
    <xf numFmtId="0" fontId="0" fillId="0" borderId="1" xfId="0" applyBorder="1" applyAlignment="1"/>
    <xf numFmtId="14" fontId="28" fillId="0" borderId="1" xfId="0" applyNumberFormat="1" applyFont="1" applyBorder="1" applyAlignment="1">
      <alignment horizontal="left"/>
    </xf>
    <xf numFmtId="0" fontId="29" fillId="0" borderId="1" xfId="0" applyFont="1" applyBorder="1" applyAlignment="1"/>
    <xf numFmtId="164" fontId="29" fillId="0" borderId="1" xfId="0" applyNumberFormat="1" applyFont="1" applyBorder="1" applyAlignment="1"/>
    <xf numFmtId="164" fontId="29" fillId="0" borderId="1" xfId="1" applyNumberFormat="1" applyFont="1" applyBorder="1" applyProtection="1"/>
    <xf numFmtId="0" fontId="29" fillId="0" borderId="0" xfId="0" applyFont="1">
      <alignment vertical="center"/>
    </xf>
    <xf numFmtId="0" fontId="30" fillId="0" borderId="1" xfId="0" applyFont="1" applyBorder="1" applyAlignment="1"/>
    <xf numFmtId="164" fontId="30" fillId="0" borderId="1" xfId="0" applyNumberFormat="1" applyFont="1" applyBorder="1" applyAlignment="1"/>
    <xf numFmtId="164" fontId="30" fillId="0" borderId="1" xfId="1" applyNumberFormat="1" applyFont="1" applyBorder="1" applyProtection="1"/>
    <xf numFmtId="0" fontId="30" fillId="0" borderId="0" xfId="0" applyFont="1" applyAlignment="1"/>
    <xf numFmtId="164" fontId="27" fillId="0" borderId="1" xfId="0" applyNumberFormat="1" applyFont="1" applyBorder="1" applyAlignment="1"/>
    <xf numFmtId="164" fontId="0" fillId="0" borderId="1" xfId="1" applyNumberFormat="1" applyFont="1" applyBorder="1" applyProtection="1"/>
    <xf numFmtId="0" fontId="31" fillId="0" borderId="1" xfId="0" applyFont="1" applyBorder="1" applyAlignment="1"/>
    <xf numFmtId="0" fontId="32" fillId="0" borderId="1" xfId="0" applyFont="1" applyBorder="1" applyAlignment="1"/>
    <xf numFmtId="0" fontId="33" fillId="0" borderId="1" xfId="0" applyFont="1" applyBorder="1" applyAlignment="1"/>
    <xf numFmtId="0" fontId="33" fillId="0" borderId="5" xfId="0" applyFont="1" applyBorder="1" applyAlignment="1"/>
    <xf numFmtId="0" fontId="28" fillId="0" borderId="1" xfId="0" applyFont="1" applyBorder="1" applyAlignment="1"/>
    <xf numFmtId="0" fontId="34" fillId="0" borderId="1" xfId="0" applyFont="1" applyBorder="1" applyAlignment="1"/>
    <xf numFmtId="0" fontId="34" fillId="0" borderId="0" xfId="0" applyFont="1">
      <alignment vertical="center"/>
    </xf>
    <xf numFmtId="49" fontId="0" fillId="0" borderId="1" xfId="0" applyNumberFormat="1" applyBorder="1" applyAlignment="1"/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32" fillId="0" borderId="2" xfId="0" applyFont="1" applyBorder="1" applyAlignment="1">
      <alignment horizontal="center"/>
    </xf>
  </cellXfs>
  <cellStyles count="4">
    <cellStyle name="Comma" xfId="1" builtinId="3"/>
    <cellStyle name="Explanatory Text" xfId="3" builtinId="5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www.wps.cn/officeDocument/2020/cellImage" Target="NUL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13642</xdr:colOff>
      <xdr:row>7</xdr:row>
      <xdr:rowOff>50601</xdr:rowOff>
    </xdr:from>
    <xdr:to>
      <xdr:col>2</xdr:col>
      <xdr:colOff>491115</xdr:colOff>
      <xdr:row>40</xdr:row>
      <xdr:rowOff>20835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8847942">
          <a:off x="-884805" y="477771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807157</xdr:colOff>
      <xdr:row>1</xdr:row>
      <xdr:rowOff>279127</xdr:rowOff>
    </xdr:from>
    <xdr:to>
      <xdr:col>3</xdr:col>
      <xdr:colOff>1284630</xdr:colOff>
      <xdr:row>36</xdr:row>
      <xdr:rowOff>134689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8847942">
          <a:off x="-884805" y="37088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1742498</xdr:colOff>
      <xdr:row>6</xdr:row>
      <xdr:rowOff>63251</xdr:rowOff>
    </xdr:from>
    <xdr:to>
      <xdr:col>2</xdr:col>
      <xdr:colOff>2385</xdr:colOff>
      <xdr:row>41</xdr:row>
      <xdr:rowOff>71437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18847942">
          <a:off x="-884805" y="45978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837889</xdr:colOff>
      <xdr:row>3</xdr:row>
      <xdr:rowOff>189755</xdr:rowOff>
    </xdr:from>
    <xdr:to>
      <xdr:col>2</xdr:col>
      <xdr:colOff>1307108</xdr:colOff>
      <xdr:row>38</xdr:row>
      <xdr:rowOff>150316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8847942">
          <a:off x="-884805" y="410577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817685</xdr:colOff>
      <xdr:row>1</xdr:row>
      <xdr:rowOff>27214</xdr:rowOff>
    </xdr:from>
    <xdr:to>
      <xdr:col>2</xdr:col>
      <xdr:colOff>1295532</xdr:colOff>
      <xdr:row>36</xdr:row>
      <xdr:rowOff>66733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8847942">
          <a:off x="-278508" y="3291478"/>
          <a:ext cx="6643519" cy="47784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843644</xdr:colOff>
      <xdr:row>20</xdr:row>
      <xdr:rowOff>127340</xdr:rowOff>
    </xdr:from>
    <xdr:to>
      <xdr:col>14</xdr:col>
      <xdr:colOff>94570</xdr:colOff>
      <xdr:row>23</xdr:row>
      <xdr:rowOff>48977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9024217">
          <a:off x="5461001" y="4073412"/>
          <a:ext cx="6317569" cy="46592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298313</xdr:colOff>
      <xdr:row>0</xdr:row>
      <xdr:rowOff>0</xdr:rowOff>
    </xdr:from>
    <xdr:to>
      <xdr:col>2</xdr:col>
      <xdr:colOff>765773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18847942">
          <a:off x="-884804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886020</xdr:colOff>
      <xdr:row>1</xdr:row>
      <xdr:rowOff>0</xdr:rowOff>
    </xdr:from>
    <xdr:to>
      <xdr:col>2</xdr:col>
      <xdr:colOff>1361800</xdr:colOff>
      <xdr:row>36</xdr:row>
      <xdr:rowOff>46136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 rot="18847942">
          <a:off x="-440305" y="34231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156808</xdr:colOff>
      <xdr:row>2</xdr:row>
      <xdr:rowOff>164455</xdr:rowOff>
    </xdr:from>
    <xdr:to>
      <xdr:col>2</xdr:col>
      <xdr:colOff>636680</xdr:colOff>
      <xdr:row>38</xdr:row>
      <xdr:rowOff>125015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18847942">
          <a:off x="-884805" y="3899397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12025</xdr:colOff>
      <xdr:row>0</xdr:row>
      <xdr:rowOff>0</xdr:rowOff>
    </xdr:from>
    <xdr:to>
      <xdr:col>2</xdr:col>
      <xdr:colOff>483431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760314</xdr:colOff>
      <xdr:row>1</xdr:row>
      <xdr:rowOff>38062</xdr:rowOff>
    </xdr:from>
    <xdr:to>
      <xdr:col>2</xdr:col>
      <xdr:colOff>1227466</xdr:colOff>
      <xdr:row>36</xdr:row>
      <xdr:rowOff>84087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 rot="18847942">
          <a:off x="-581521" y="347077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29839</xdr:colOff>
      <xdr:row>7</xdr:row>
      <xdr:rowOff>0</xdr:rowOff>
    </xdr:from>
    <xdr:to>
      <xdr:col>3</xdr:col>
      <xdr:colOff>511870</xdr:colOff>
      <xdr:row>43</xdr:row>
      <xdr:rowOff>8185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 rot="18847942">
          <a:off x="-884805" y="47248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246512</xdr:colOff>
      <xdr:row>0</xdr:row>
      <xdr:rowOff>0</xdr:rowOff>
    </xdr:from>
    <xdr:to>
      <xdr:col>3</xdr:col>
      <xdr:colOff>726791</xdr:colOff>
      <xdr:row>29</xdr:row>
      <xdr:rowOff>26975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 rot="18847942">
          <a:off x="-706121" y="3193276"/>
          <a:ext cx="6866832" cy="48027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853821</xdr:colOff>
      <xdr:row>0</xdr:row>
      <xdr:rowOff>101451</xdr:rowOff>
    </xdr:from>
    <xdr:to>
      <xdr:col>3</xdr:col>
      <xdr:colOff>1325227</xdr:colOff>
      <xdr:row>35</xdr:row>
      <xdr:rowOff>195584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 rot="18847942">
          <a:off x="-455085" y="3167190"/>
          <a:ext cx="6602883" cy="47140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1205207</xdr:colOff>
      <xdr:row>0</xdr:row>
      <xdr:rowOff>0</xdr:rowOff>
    </xdr:from>
    <xdr:to>
      <xdr:col>3</xdr:col>
      <xdr:colOff>1686406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 rot="18847942">
          <a:off x="5853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759792</xdr:colOff>
      <xdr:row>1</xdr:row>
      <xdr:rowOff>101500</xdr:rowOff>
    </xdr:from>
    <xdr:to>
      <xdr:col>3</xdr:col>
      <xdr:colOff>1235573</xdr:colOff>
      <xdr:row>35</xdr:row>
      <xdr:rowOff>195336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 rot="18847942">
          <a:off x="-519680" y="353427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1166774</xdr:colOff>
      <xdr:row>0</xdr:row>
      <xdr:rowOff>0</xdr:rowOff>
    </xdr:from>
    <xdr:to>
      <xdr:col>3</xdr:col>
      <xdr:colOff>2744731</xdr:colOff>
      <xdr:row>59</xdr:row>
      <xdr:rowOff>0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 rot="18096816">
          <a:off x="-2368976" y="5255041"/>
          <a:ext cx="11479064" cy="96898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1314378</xdr:colOff>
      <xdr:row>1</xdr:row>
      <xdr:rowOff>88813</xdr:rowOff>
    </xdr:from>
    <xdr:to>
      <xdr:col>3</xdr:col>
      <xdr:colOff>1788819</xdr:colOff>
      <xdr:row>35</xdr:row>
      <xdr:rowOff>182314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rot="18847942">
          <a:off x="-311646" y="35183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124269</xdr:colOff>
      <xdr:row>0</xdr:row>
      <xdr:rowOff>0</xdr:rowOff>
    </xdr:from>
    <xdr:to>
      <xdr:col>3</xdr:col>
      <xdr:colOff>591630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 rot="18847942">
          <a:off x="-884806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32070</xdr:colOff>
      <xdr:row>8</xdr:row>
      <xdr:rowOff>137674</xdr:rowOff>
    </xdr:from>
    <xdr:to>
      <xdr:col>3</xdr:col>
      <xdr:colOff>475888</xdr:colOff>
      <xdr:row>45</xdr:row>
      <xdr:rowOff>90715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 rot="18847942">
          <a:off x="-103541" y="4818072"/>
          <a:ext cx="6575183" cy="44381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854860</xdr:colOff>
      <xdr:row>0</xdr:row>
      <xdr:rowOff>0</xdr:rowOff>
    </xdr:from>
    <xdr:to>
      <xdr:col>3</xdr:col>
      <xdr:colOff>1346404</xdr:colOff>
      <xdr:row>35</xdr:row>
      <xdr:rowOff>62197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45697</xdr:colOff>
      <xdr:row>2</xdr:row>
      <xdr:rowOff>151804</xdr:rowOff>
    </xdr:from>
    <xdr:to>
      <xdr:col>3</xdr:col>
      <xdr:colOff>517103</xdr:colOff>
      <xdr:row>38</xdr:row>
      <xdr:rowOff>112365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 rot="18847942">
          <a:off x="-884805" y="388352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1554887</xdr:colOff>
      <xdr:row>0</xdr:row>
      <xdr:rowOff>0</xdr:rowOff>
    </xdr:from>
    <xdr:to>
      <xdr:col>3</xdr:col>
      <xdr:colOff>2027778</xdr:colOff>
      <xdr:row>34</xdr:row>
      <xdr:rowOff>103137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 rot="18847942">
          <a:off x="-168771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1139239</xdr:colOff>
      <xdr:row>0</xdr:row>
      <xdr:rowOff>0</xdr:rowOff>
    </xdr:from>
    <xdr:to>
      <xdr:col>3</xdr:col>
      <xdr:colOff>1617066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665569</xdr:colOff>
      <xdr:row>0</xdr:row>
      <xdr:rowOff>0</xdr:rowOff>
    </xdr:from>
    <xdr:to>
      <xdr:col>3</xdr:col>
      <xdr:colOff>1157114</xdr:colOff>
      <xdr:row>34</xdr:row>
      <xdr:rowOff>103137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 rot="18847942">
          <a:off x="-184646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807157</xdr:colOff>
      <xdr:row>0</xdr:row>
      <xdr:rowOff>114188</xdr:rowOff>
    </xdr:from>
    <xdr:to>
      <xdr:col>3</xdr:col>
      <xdr:colOff>1284630</xdr:colOff>
      <xdr:row>35</xdr:row>
      <xdr:rowOff>208359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 rot="18847942">
          <a:off x="-186303" y="3359645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1585980</xdr:colOff>
      <xdr:row>0</xdr:row>
      <xdr:rowOff>0</xdr:rowOff>
    </xdr:from>
    <xdr:to>
      <xdr:col>3</xdr:col>
      <xdr:colOff>2053747</xdr:colOff>
      <xdr:row>33</xdr:row>
      <xdr:rowOff>474947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 rot="18847942">
          <a:off x="434478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1411448</xdr:colOff>
      <xdr:row>0</xdr:row>
      <xdr:rowOff>0</xdr:rowOff>
    </xdr:from>
    <xdr:to>
      <xdr:col>3</xdr:col>
      <xdr:colOff>1880232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 rot="18847942">
          <a:off x="355104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777006</xdr:colOff>
      <xdr:row>0</xdr:row>
      <xdr:rowOff>0</xdr:rowOff>
    </xdr:from>
    <xdr:to>
      <xdr:col>3</xdr:col>
      <xdr:colOff>1268551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 rot="18847942">
          <a:off x="-772021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920501</xdr:colOff>
      <xdr:row>0</xdr:row>
      <xdr:rowOff>0</xdr:rowOff>
    </xdr:from>
    <xdr:to>
      <xdr:col>4</xdr:col>
      <xdr:colOff>532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 rot="18847942">
          <a:off x="339229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1537524</xdr:colOff>
      <xdr:row>0</xdr:row>
      <xdr:rowOff>0</xdr:rowOff>
    </xdr:from>
    <xdr:to>
      <xdr:col>4</xdr:col>
      <xdr:colOff>2020</xdr:colOff>
      <xdr:row>34</xdr:row>
      <xdr:rowOff>103137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 rot="18847942">
          <a:off x="-138679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966297</xdr:colOff>
      <xdr:row>0</xdr:row>
      <xdr:rowOff>0</xdr:rowOff>
    </xdr:from>
    <xdr:to>
      <xdr:col>3</xdr:col>
      <xdr:colOff>1384363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 rot="18847942">
          <a:off x="543944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920501</xdr:colOff>
      <xdr:row>0</xdr:row>
      <xdr:rowOff>0</xdr:rowOff>
    </xdr:from>
    <xdr:to>
      <xdr:col>4</xdr:col>
      <xdr:colOff>531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 rot="18847942">
          <a:off x="291603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491544</xdr:colOff>
      <xdr:row>0</xdr:row>
      <xdr:rowOff>0</xdr:rowOff>
    </xdr:from>
    <xdr:to>
      <xdr:col>3</xdr:col>
      <xdr:colOff>983089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 rot="18847942">
          <a:off x="-152897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1078008</xdr:colOff>
      <xdr:row>0</xdr:row>
      <xdr:rowOff>0</xdr:rowOff>
    </xdr:from>
    <xdr:to>
      <xdr:col>3</xdr:col>
      <xdr:colOff>1549414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 rot="18847942">
          <a:off x="513854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792272</xdr:colOff>
      <xdr:row>0</xdr:row>
      <xdr:rowOff>0</xdr:rowOff>
    </xdr:from>
    <xdr:to>
      <xdr:col>3</xdr:col>
      <xdr:colOff>1283816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 rot="18847942">
          <a:off x="-486271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626498</xdr:colOff>
      <xdr:row>0</xdr:row>
      <xdr:rowOff>0</xdr:rowOff>
    </xdr:from>
    <xdr:to>
      <xdr:col>25</xdr:col>
      <xdr:colOff>623866</xdr:colOff>
      <xdr:row>31</xdr:row>
      <xdr:rowOff>70365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 rot="18847942">
          <a:off x="12687986" y="2802459"/>
          <a:ext cx="6245534" cy="6406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V56"/>
  <sheetViews>
    <sheetView topLeftCell="A32" zoomScale="60" workbookViewId="0">
      <selection activeCell="E58" sqref="E58"/>
    </sheetView>
  </sheetViews>
  <sheetFormatPr defaultColWidth="9" defaultRowHeight="14.5" x14ac:dyDescent="0.35"/>
  <cols>
    <col min="1" max="1" width="5.81640625" style="1" customWidth="1"/>
    <col min="2" max="2" width="29.1796875" style="1" customWidth="1"/>
    <col min="3" max="3" width="29.54296875" style="1" customWidth="1"/>
    <col min="4" max="4" width="5.81640625" style="1" customWidth="1"/>
    <col min="5" max="5" width="20.81640625" style="1" customWidth="1"/>
    <col min="6" max="6" width="2" style="1" customWidth="1"/>
    <col min="7" max="7" width="9.1796875" style="1" customWidth="1"/>
    <col min="8" max="8" width="13.1796875" style="1" customWidth="1"/>
    <col min="9" max="9" width="1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">
        <v>44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v>20242001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">
        <v>205</v>
      </c>
      <c r="N6" s="1">
        <f t="shared" si="0"/>
        <v>11070</v>
      </c>
      <c r="O6" s="1">
        <v>11070</v>
      </c>
    </row>
    <row r="7" spans="2:15" x14ac:dyDescent="0.35">
      <c r="B7" s="74" t="s">
        <v>206</v>
      </c>
      <c r="C7" s="74" t="s">
        <v>220</v>
      </c>
      <c r="N7" s="1">
        <f t="shared" si="0"/>
        <v>1197</v>
      </c>
      <c r="O7" s="1">
        <v>1197</v>
      </c>
    </row>
    <row r="8" spans="2:15" x14ac:dyDescent="0.35">
      <c r="B8" s="1" t="s">
        <v>85</v>
      </c>
      <c r="C8" s="1" t="s">
        <v>30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73" t="s">
        <v>229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73"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ht="30.75" customHeight="1" x14ac:dyDescent="0.35">
      <c r="N14" s="1">
        <f t="shared" si="0"/>
        <v>11070</v>
      </c>
      <c r="O14" s="1">
        <v>11070</v>
      </c>
    </row>
    <row r="15" spans="2:15" ht="47.25" customHeight="1" x14ac:dyDescent="0.35">
      <c r="B15" s="6" t="s">
        <v>33</v>
      </c>
      <c r="C15" s="7" t="s">
        <v>4</v>
      </c>
      <c r="E15" s="7" t="s">
        <v>32</v>
      </c>
      <c r="N15" s="1">
        <f t="shared" si="0"/>
        <v>9090</v>
      </c>
      <c r="O15" s="1">
        <v>9090</v>
      </c>
    </row>
    <row r="16" spans="2:15" x14ac:dyDescent="0.35">
      <c r="B16" s="8">
        <f>meter!D3</f>
        <v>32</v>
      </c>
      <c r="C16" s="8">
        <f>meter!E3</f>
        <v>33</v>
      </c>
      <c r="D16" s="1" t="s">
        <v>19</v>
      </c>
      <c r="E16" s="9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90</v>
      </c>
      <c r="N17" s="1">
        <f t="shared" si="0"/>
        <v>11154</v>
      </c>
      <c r="O17" s="1">
        <v>11154</v>
      </c>
    </row>
    <row r="18" spans="2:15" x14ac:dyDescent="0.35">
      <c r="C18" s="1" t="s">
        <v>40</v>
      </c>
      <c r="D18" s="1" t="s">
        <v>31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55</v>
      </c>
      <c r="D20" s="1" t="s">
        <v>31</v>
      </c>
      <c r="E20" s="1">
        <f>meter!H3</f>
        <v>220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31</v>
      </c>
      <c r="E22" s="1"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31</v>
      </c>
      <c r="E24" s="11">
        <v>10000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C26" s="1" t="s">
        <v>204</v>
      </c>
      <c r="D26" s="1" t="s">
        <v>31</v>
      </c>
      <c r="E26" s="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31</v>
      </c>
      <c r="E27" s="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128</v>
      </c>
      <c r="D28" s="1" t="s">
        <v>31</v>
      </c>
      <c r="E28" s="11"/>
      <c r="N28" s="1">
        <f t="shared" si="0"/>
        <v>10802</v>
      </c>
      <c r="O28" s="1">
        <v>10802</v>
      </c>
    </row>
    <row r="29" spans="2:15" x14ac:dyDescent="0.35">
      <c r="G29" s="13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E18+E20+E22+E24+E26+E27+E28</f>
        <v>10980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meter!R3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10980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  <c r="I45" s="16"/>
    </row>
    <row r="46" spans="1:18" x14ac:dyDescent="0.35">
      <c r="B46" s="4" t="s">
        <v>15</v>
      </c>
    </row>
    <row r="47" spans="1:18" ht="32" x14ac:dyDescent="0.7">
      <c r="B47" s="17" t="s">
        <v>198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230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  <row r="56" spans="1:15" x14ac:dyDescent="0.35">
      <c r="L56" s="90" t="s">
        <v>54</v>
      </c>
    </row>
  </sheetData>
  <mergeCells count="1">
    <mergeCell ref="B51:K51"/>
  </mergeCells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V53"/>
  <sheetViews>
    <sheetView view="pageBreakPreview" topLeftCell="A29" zoomScale="60" zoomScaleNormal="60" workbookViewId="0">
      <selection activeCell="J48" sqref="J48"/>
    </sheetView>
  </sheetViews>
  <sheetFormatPr defaultColWidth="9" defaultRowHeight="14.5" x14ac:dyDescent="0.35"/>
  <cols>
    <col min="1" max="1" width="0.1796875" style="1" customWidth="1"/>
    <col min="2" max="2" width="13.81640625" style="1" customWidth="1"/>
    <col min="3" max="3" width="9.1796875" style="1" customWidth="1"/>
    <col min="4" max="4" width="29.54296875" style="1" customWidth="1"/>
    <col min="5" max="5" width="9" style="1" customWidth="1"/>
    <col min="6" max="6" width="19.26953125" style="1" customWidth="1"/>
    <col min="7" max="7" width="35.1796875" style="1" customWidth="1"/>
    <col min="8" max="8" width="11.4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>
        <f>'hse1'!H4+2-1</f>
        <v>20242002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meter!A4</f>
        <v>GODFREY IRONGO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85</v>
      </c>
      <c r="D8" s="1" t="s">
        <v>36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7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3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33</v>
      </c>
      <c r="D15" s="7" t="s">
        <v>4</v>
      </c>
      <c r="F15" s="7" t="s">
        <v>32</v>
      </c>
      <c r="N15" s="1">
        <f t="shared" si="0"/>
        <v>9090</v>
      </c>
      <c r="O15" s="1">
        <v>9090</v>
      </c>
    </row>
    <row r="16" spans="2:15" x14ac:dyDescent="0.35">
      <c r="B16" s="8">
        <f>meter!D4</f>
        <v>229</v>
      </c>
      <c r="C16" s="8"/>
      <c r="D16" s="8">
        <f>meter!E4</f>
        <v>232</v>
      </c>
      <c r="E16" s="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H17" s="11"/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1">
        <f>meter!O4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31</v>
      </c>
      <c r="F20" s="1">
        <f>meter!H4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31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31</v>
      </c>
      <c r="F24" s="11">
        <v>10000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1" t="s">
        <v>31</v>
      </c>
      <c r="F26" s="11"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F27" s="1">
        <v>150</v>
      </c>
      <c r="G27" s="4"/>
      <c r="H27" s="11"/>
      <c r="N27" s="1">
        <f t="shared" si="0"/>
        <v>11393</v>
      </c>
      <c r="O27" s="1">
        <v>11393</v>
      </c>
    </row>
    <row r="28" spans="2:15" x14ac:dyDescent="0.35">
      <c r="D28" s="1" t="s">
        <v>52</v>
      </c>
      <c r="E28" s="1" t="s">
        <v>31</v>
      </c>
      <c r="F28" s="11">
        <f>IF(F18*6%*3&lt;0,0,F18*6%*3)</f>
        <v>0</v>
      </c>
      <c r="G28" s="19"/>
      <c r="H28" s="11"/>
      <c r="N28" s="1">
        <f t="shared" si="0"/>
        <v>10802</v>
      </c>
      <c r="O28" s="1">
        <v>10802</v>
      </c>
    </row>
    <row r="29" spans="2:15" x14ac:dyDescent="0.35">
      <c r="F29" s="1">
        <v>0</v>
      </c>
      <c r="H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11420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meter!R4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F34" s="13">
        <f>F30-F32</f>
        <v>11420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N35" s="1">
        <f t="shared" si="0"/>
        <v>10270</v>
      </c>
      <c r="O35" s="1">
        <v>10270</v>
      </c>
    </row>
    <row r="36" spans="1:18" ht="18.5" x14ac:dyDescent="0.45">
      <c r="B36" s="1" t="s">
        <v>95</v>
      </c>
      <c r="C36" s="14" t="s">
        <v>82</v>
      </c>
      <c r="N36" s="1">
        <f t="shared" si="0"/>
        <v>10598</v>
      </c>
      <c r="O36" s="1">
        <v>10598</v>
      </c>
    </row>
    <row r="37" spans="1:18" x14ac:dyDescent="0.35">
      <c r="B37" s="1" t="s">
        <v>96</v>
      </c>
      <c r="C37" s="15" t="s">
        <v>146</v>
      </c>
      <c r="N37" s="1">
        <f t="shared" si="0"/>
        <v>8770</v>
      </c>
      <c r="O37" s="1">
        <v>8770</v>
      </c>
    </row>
    <row r="38" spans="1:18" x14ac:dyDescent="0.35">
      <c r="C38" s="15"/>
      <c r="N38" s="1">
        <f t="shared" si="0"/>
        <v>8770</v>
      </c>
      <c r="O38" s="1">
        <v>8770</v>
      </c>
    </row>
    <row r="39" spans="1:18" x14ac:dyDescent="0.35">
      <c r="B39" s="1" t="s">
        <v>97</v>
      </c>
      <c r="C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C40" s="15"/>
    </row>
    <row r="41" spans="1:18" x14ac:dyDescent="0.35">
      <c r="B41" s="1" t="s">
        <v>98</v>
      </c>
      <c r="C41" s="15" t="s">
        <v>81</v>
      </c>
    </row>
    <row r="42" spans="1:18" x14ac:dyDescent="0.35">
      <c r="A42" s="16"/>
      <c r="B42" s="1" t="s">
        <v>99</v>
      </c>
      <c r="C42" s="15" t="s">
        <v>102</v>
      </c>
    </row>
    <row r="43" spans="1:18" x14ac:dyDescent="0.35">
      <c r="B43" s="1" t="s">
        <v>100</v>
      </c>
      <c r="C43" s="4" t="s">
        <v>140</v>
      </c>
    </row>
    <row r="44" spans="1:18" x14ac:dyDescent="0.35">
      <c r="C44" s="4" t="s">
        <v>80</v>
      </c>
    </row>
    <row r="45" spans="1:18" x14ac:dyDescent="0.35">
      <c r="B45" s="16"/>
      <c r="C45" s="4" t="s">
        <v>14</v>
      </c>
      <c r="H45" s="16"/>
      <c r="I45" s="16"/>
    </row>
    <row r="46" spans="1:18" x14ac:dyDescent="0.35">
      <c r="C46" s="4" t="s">
        <v>15</v>
      </c>
    </row>
    <row r="47" spans="1:18" ht="32" x14ac:dyDescent="0.7">
      <c r="C47" s="17" t="s">
        <v>199</v>
      </c>
      <c r="D47" s="18"/>
      <c r="E47" s="18"/>
      <c r="F47" s="18"/>
    </row>
    <row r="48" spans="1:18" x14ac:dyDescent="0.35">
      <c r="C48" s="16" t="s">
        <v>84</v>
      </c>
      <c r="D48" s="16"/>
      <c r="E48" s="16"/>
      <c r="F48" s="16"/>
      <c r="G48" s="16"/>
    </row>
    <row r="49" spans="1:15" x14ac:dyDescent="0.35">
      <c r="A49" s="15"/>
      <c r="B49" s="15"/>
      <c r="C49" s="16" t="s">
        <v>13</v>
      </c>
      <c r="O49" s="1" t="s">
        <v>185</v>
      </c>
    </row>
    <row r="50" spans="1:15" ht="32" x14ac:dyDescent="0.7">
      <c r="A50" s="15"/>
      <c r="B50" s="15"/>
      <c r="C50" s="17"/>
      <c r="H50" s="15"/>
      <c r="I50" s="15"/>
    </row>
    <row r="51" spans="1:15" ht="32" x14ac:dyDescent="0.7">
      <c r="B51" s="15"/>
      <c r="C51" s="94" t="s">
        <v>231</v>
      </c>
      <c r="D51" s="95"/>
      <c r="E51" s="95"/>
      <c r="F51" s="95"/>
      <c r="G51" s="95"/>
      <c r="H51" s="95"/>
      <c r="I51" s="95"/>
      <c r="J51" s="95"/>
      <c r="K51" s="95"/>
      <c r="L51" s="96"/>
    </row>
    <row r="52" spans="1:15" x14ac:dyDescent="0.35">
      <c r="B52" s="15"/>
      <c r="C52" s="15" t="s">
        <v>38</v>
      </c>
      <c r="D52" s="4"/>
    </row>
    <row r="53" spans="1:15" x14ac:dyDescent="0.35">
      <c r="C53" s="15" t="s">
        <v>16</v>
      </c>
      <c r="D53" s="15"/>
    </row>
  </sheetData>
  <mergeCells count="1">
    <mergeCell ref="C51:L51"/>
  </mergeCells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V53"/>
  <sheetViews>
    <sheetView topLeftCell="A23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30.7265625" style="1" customWidth="1"/>
    <col min="3" max="3" width="30.81640625" style="1" customWidth="1"/>
    <col min="4" max="4" width="9.1796875" style="1" customWidth="1"/>
    <col min="5" max="5" width="20.7265625" style="1" customWidth="1"/>
    <col min="6" max="6" width="5.1796875" style="1" customWidth="1"/>
    <col min="7" max="7" width="9.1796875" style="1" customWidth="1"/>
    <col min="8" max="8" width="11.1796875" style="1" bestFit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'hse1'!H4+3-1</f>
        <v>20242003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meter!A5</f>
        <v>STACY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1" t="s">
        <v>35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7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33</v>
      </c>
      <c r="C15" s="7" t="s">
        <v>4</v>
      </c>
      <c r="E15" s="7" t="s">
        <v>32</v>
      </c>
      <c r="N15" s="1">
        <f t="shared" si="0"/>
        <v>9090</v>
      </c>
      <c r="O15" s="1">
        <v>9090</v>
      </c>
    </row>
    <row r="16" spans="2:15" x14ac:dyDescent="0.35">
      <c r="B16" s="8">
        <f>meter!D5</f>
        <v>845</v>
      </c>
      <c r="C16" s="8">
        <f>meter!E5</f>
        <v>847</v>
      </c>
      <c r="D16" s="8" t="s">
        <v>19</v>
      </c>
      <c r="E16" s="9">
        <f>C16-B16</f>
        <v>2</v>
      </c>
      <c r="N16" s="1">
        <f t="shared" si="0"/>
        <v>9420</v>
      </c>
      <c r="O16" s="1">
        <v>9420</v>
      </c>
    </row>
    <row r="17" spans="2:15" x14ac:dyDescent="0.35">
      <c r="E17" s="1" t="s">
        <v>91</v>
      </c>
      <c r="N17" s="1">
        <f t="shared" si="0"/>
        <v>11154</v>
      </c>
      <c r="O17" s="1">
        <v>11154</v>
      </c>
    </row>
    <row r="18" spans="2:15" x14ac:dyDescent="0.35">
      <c r="C18" s="1" t="s">
        <v>40</v>
      </c>
      <c r="D18" s="1" t="s">
        <v>31</v>
      </c>
      <c r="E18" s="1">
        <f>meter!O5</f>
        <v>2450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31</v>
      </c>
      <c r="E20" s="1">
        <f>meter!H5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31</v>
      </c>
      <c r="E22" s="1">
        <f>meter!J5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31</v>
      </c>
      <c r="E24" s="11">
        <f>meter!N5</f>
        <v>10500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C26" s="1" t="s">
        <v>39</v>
      </c>
      <c r="D26" s="1" t="s">
        <v>31</v>
      </c>
      <c r="E26" s="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31</v>
      </c>
      <c r="E27" s="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10</v>
      </c>
      <c r="D28" s="1" t="s">
        <v>31</v>
      </c>
      <c r="E28" s="11">
        <f>IF(E18*6%*3&lt;0,0,E18*6%*3)</f>
        <v>441</v>
      </c>
      <c r="N28" s="1">
        <f t="shared" si="0"/>
        <v>10802</v>
      </c>
      <c r="O28" s="1">
        <v>10802</v>
      </c>
    </row>
    <row r="29" spans="2:15" x14ac:dyDescent="0.35"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14591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meter!R5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14591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 t="s">
        <v>38</v>
      </c>
      <c r="B51" s="94" t="s">
        <v>232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 t="s">
        <v>16</v>
      </c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V53"/>
  <sheetViews>
    <sheetView topLeftCell="B36" zoomScale="60" workbookViewId="0">
      <selection activeCell="F56" sqref="F56"/>
    </sheetView>
  </sheetViews>
  <sheetFormatPr defaultColWidth="9" defaultRowHeight="14.5" x14ac:dyDescent="0.35"/>
  <cols>
    <col min="1" max="1" width="4.54296875" style="1" customWidth="1"/>
    <col min="2" max="2" width="18" style="1" customWidth="1"/>
    <col min="3" max="3" width="31.1796875" style="1" customWidth="1"/>
    <col min="4" max="4" width="9.1796875" style="1" customWidth="1"/>
    <col min="5" max="5" width="20.7265625" style="1" customWidth="1"/>
    <col min="6" max="7" width="9.1796875" style="1" customWidth="1"/>
    <col min="8" max="8" width="11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'hse1'!H4+4-1</f>
        <v>20242004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meter!A6</f>
        <v xml:space="preserve">MARY 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1" t="s">
        <v>17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7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meter!D6</f>
        <v>721</v>
      </c>
      <c r="C16" s="8">
        <f>meter!E6</f>
        <v>724</v>
      </c>
      <c r="D16" s="8" t="s">
        <v>19</v>
      </c>
      <c r="E16" s="9">
        <f>C16-B16</f>
        <v>3</v>
      </c>
      <c r="F16" s="8"/>
      <c r="N16" s="1">
        <f t="shared" si="0"/>
        <v>9420</v>
      </c>
      <c r="O16" s="1">
        <v>9420</v>
      </c>
    </row>
    <row r="17" spans="2:15" x14ac:dyDescent="0.35">
      <c r="E17" s="1" t="s">
        <v>92</v>
      </c>
      <c r="N17" s="1">
        <f t="shared" si="0"/>
        <v>11154</v>
      </c>
      <c r="O17" s="1">
        <v>11154</v>
      </c>
    </row>
    <row r="18" spans="2:15" x14ac:dyDescent="0.35">
      <c r="C18" s="1" t="s">
        <v>40</v>
      </c>
      <c r="D18" s="1" t="s">
        <v>31</v>
      </c>
      <c r="E18" s="1">
        <f>meter!O6</f>
        <v>5250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31</v>
      </c>
      <c r="E20" s="1">
        <f>meter!H6</f>
        <v>660</v>
      </c>
      <c r="N20" s="1">
        <f t="shared" si="0"/>
        <v>10590</v>
      </c>
      <c r="O20" s="1">
        <v>10590</v>
      </c>
    </row>
    <row r="21" spans="2:15" x14ac:dyDescent="0.35">
      <c r="H21" s="1" t="s">
        <v>54</v>
      </c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31</v>
      </c>
      <c r="E22" s="1">
        <f>meter!J6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31</v>
      </c>
      <c r="E24" s="11">
        <f>meter!N6</f>
        <v>10000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C26" s="1" t="s">
        <v>39</v>
      </c>
      <c r="D26" s="1" t="s">
        <v>31</v>
      </c>
      <c r="E26" s="1">
        <v>500</v>
      </c>
      <c r="G26" s="13"/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31</v>
      </c>
      <c r="E27" s="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52</v>
      </c>
      <c r="D28" s="1" t="s">
        <v>31</v>
      </c>
      <c r="E28" s="11">
        <f>IF(E18*6%*3&lt;0,0,E18*6%*3)</f>
        <v>945</v>
      </c>
      <c r="N28" s="1">
        <f t="shared" si="0"/>
        <v>10802</v>
      </c>
      <c r="O28" s="1">
        <v>10802</v>
      </c>
    </row>
    <row r="29" spans="2:15" x14ac:dyDescent="0.35"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17615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meter!R6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17615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 t="s">
        <v>38</v>
      </c>
      <c r="B51" s="94" t="s">
        <v>233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 t="s">
        <v>16</v>
      </c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V53"/>
  <sheetViews>
    <sheetView topLeftCell="A22" zoomScale="60" workbookViewId="0">
      <selection activeCell="B51" sqref="B51:K51"/>
    </sheetView>
  </sheetViews>
  <sheetFormatPr defaultColWidth="9" defaultRowHeight="14.5" x14ac:dyDescent="0.35"/>
  <cols>
    <col min="1" max="1" width="4.7265625" style="1" customWidth="1"/>
    <col min="2" max="2" width="23.26953125" style="1" customWidth="1"/>
    <col min="3" max="3" width="31.7265625" style="1" customWidth="1"/>
    <col min="4" max="4" width="9.1796875" style="1" customWidth="1"/>
    <col min="5" max="5" width="25.26953125" style="1" customWidth="1"/>
    <col min="6" max="7" width="9.1796875" style="1" customWidth="1"/>
    <col min="8" max="8" width="14.1796875" style="1" customWidth="1"/>
    <col min="9" max="9" width="5.269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'hse1'!H4+5-1</f>
        <v>20242005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meter!A7</f>
        <v>GEOFFREY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87</v>
      </c>
      <c r="C8" s="1" t="s">
        <v>37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33</v>
      </c>
      <c r="C15" s="7" t="s">
        <v>4</v>
      </c>
      <c r="E15" s="7" t="s">
        <v>32</v>
      </c>
      <c r="N15" s="1">
        <f t="shared" si="0"/>
        <v>9090</v>
      </c>
      <c r="O15" s="1">
        <v>9090</v>
      </c>
    </row>
    <row r="16" spans="2:15" x14ac:dyDescent="0.35">
      <c r="B16" s="8">
        <f>meter!D7</f>
        <v>125</v>
      </c>
      <c r="C16" s="8">
        <f>meter!E7</f>
        <v>126</v>
      </c>
      <c r="D16" s="8" t="s">
        <v>19</v>
      </c>
      <c r="E16" s="9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93</v>
      </c>
      <c r="N17" s="1">
        <f t="shared" si="0"/>
        <v>11154</v>
      </c>
      <c r="O17" s="1">
        <v>11154</v>
      </c>
    </row>
    <row r="18" spans="2:15" x14ac:dyDescent="0.35">
      <c r="C18" s="1" t="s">
        <v>40</v>
      </c>
      <c r="D18" s="1" t="s">
        <v>31</v>
      </c>
      <c r="E18" s="1">
        <f>meter!O7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31</v>
      </c>
      <c r="E20" s="1">
        <f>meter!H7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31</v>
      </c>
      <c r="E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31</v>
      </c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 t="s">
        <v>204</v>
      </c>
      <c r="D26" s="1" t="str">
        <f>'hse1'!D26</f>
        <v>Kshs.</v>
      </c>
      <c r="E26" s="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31</v>
      </c>
      <c r="E27" s="1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52</v>
      </c>
      <c r="D28" s="1" t="s">
        <v>31</v>
      </c>
      <c r="E28" s="11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760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meter!R7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760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20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200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 t="s">
        <v>38</v>
      </c>
      <c r="B51" s="94" t="s">
        <v>234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 t="s">
        <v>16</v>
      </c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V53"/>
  <sheetViews>
    <sheetView topLeftCell="A47" zoomScale="60" workbookViewId="0">
      <selection activeCell="B51" sqref="B51:K51"/>
    </sheetView>
  </sheetViews>
  <sheetFormatPr defaultColWidth="9" defaultRowHeight="14.5" x14ac:dyDescent="0.35"/>
  <cols>
    <col min="1" max="1" width="4.81640625" style="1" customWidth="1"/>
    <col min="2" max="2" width="21.26953125" style="1" customWidth="1"/>
    <col min="3" max="3" width="30" style="1" customWidth="1"/>
    <col min="4" max="4" width="9.1796875" style="1" customWidth="1"/>
    <col min="5" max="5" width="16.7265625" style="1" customWidth="1"/>
    <col min="6" max="6" width="13.81640625" style="1" customWidth="1"/>
    <col min="7" max="7" width="0.54296875" style="1" customWidth="1"/>
    <col min="8" max="8" width="11.54296875" style="1" customWidth="1"/>
    <col min="9" max="9" width="11.81640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 t="s">
        <v>6</v>
      </c>
      <c r="H4" s="1">
        <f>'hse1'!H4+6-1</f>
        <v>20242006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21" t="s">
        <v>209</v>
      </c>
      <c r="N6" s="1">
        <f t="shared" si="0"/>
        <v>11070</v>
      </c>
      <c r="O6" s="1">
        <v>11070</v>
      </c>
    </row>
    <row r="7" spans="2:15" x14ac:dyDescent="0.35">
      <c r="C7" s="22"/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1" t="s">
        <v>21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ht="2.25" customHeight="1" x14ac:dyDescent="0.35">
      <c r="N14" s="1">
        <f t="shared" si="0"/>
        <v>11070</v>
      </c>
      <c r="O14" s="1">
        <v>11070</v>
      </c>
    </row>
    <row r="15" spans="2:15" ht="37.5" customHeight="1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meter!D8</f>
        <v>450</v>
      </c>
      <c r="C16" s="8">
        <f>meter!E8</f>
        <v>450</v>
      </c>
      <c r="D16" s="8" t="s">
        <v>19</v>
      </c>
      <c r="E16" s="9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93</v>
      </c>
      <c r="I17" s="11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20</v>
      </c>
      <c r="E18" s="11">
        <f>meter!O8</f>
        <v>0</v>
      </c>
      <c r="I18" s="11"/>
      <c r="N18" s="1">
        <f t="shared" si="0"/>
        <v>10430</v>
      </c>
      <c r="O18" s="1">
        <v>10430</v>
      </c>
    </row>
    <row r="19" spans="2:15" ht="15.5" x14ac:dyDescent="0.35">
      <c r="B19" s="10"/>
      <c r="I19" s="11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18</v>
      </c>
      <c r="E20" s="1">
        <f>meter!H8</f>
        <v>0</v>
      </c>
      <c r="I20" s="11"/>
      <c r="N20" s="1">
        <f t="shared" si="0"/>
        <v>10590</v>
      </c>
      <c r="O20" s="1">
        <v>10590</v>
      </c>
    </row>
    <row r="21" spans="2:15" x14ac:dyDescent="0.35">
      <c r="I21" s="11"/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18</v>
      </c>
      <c r="E22" s="1">
        <f>'hse1'!E22</f>
        <v>110</v>
      </c>
      <c r="I22" s="11"/>
      <c r="N22" s="1">
        <f t="shared" si="0"/>
        <v>9250</v>
      </c>
      <c r="O22" s="1">
        <v>9250</v>
      </c>
    </row>
    <row r="23" spans="2:15" x14ac:dyDescent="0.35">
      <c r="I23" s="11"/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18</v>
      </c>
      <c r="E24" s="11">
        <f>meter!N8</f>
        <v>8500</v>
      </c>
      <c r="I24" s="11"/>
      <c r="N24" s="1">
        <f t="shared" si="0"/>
        <v>10270</v>
      </c>
      <c r="O24" s="1">
        <v>10270</v>
      </c>
    </row>
    <row r="25" spans="2:15" x14ac:dyDescent="0.35">
      <c r="E25" s="11"/>
      <c r="I25" s="11"/>
      <c r="N25" s="1">
        <f t="shared" si="0"/>
        <v>11070</v>
      </c>
      <c r="O25" s="1">
        <v>11070</v>
      </c>
    </row>
    <row r="26" spans="2:15" x14ac:dyDescent="0.35">
      <c r="C26" s="1" t="str">
        <f>'hse1'!C26</f>
        <v>security</v>
      </c>
      <c r="D26" s="1" t="str">
        <f>'hse1'!D26</f>
        <v>Kshs.</v>
      </c>
      <c r="E26" s="1">
        <f>meter!M8</f>
        <v>0</v>
      </c>
      <c r="I26" s="11"/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E27" s="11">
        <v>150</v>
      </c>
      <c r="I27" s="11"/>
      <c r="N27" s="1">
        <f t="shared" si="0"/>
        <v>11393</v>
      </c>
      <c r="O27" s="1">
        <v>11393</v>
      </c>
    </row>
    <row r="28" spans="2:15" x14ac:dyDescent="0.35">
      <c r="C28" s="1" t="s">
        <v>103</v>
      </c>
      <c r="D28" s="1" t="s">
        <v>18</v>
      </c>
      <c r="E28" s="11"/>
      <c r="I28" s="11"/>
      <c r="N28" s="1">
        <f t="shared" si="0"/>
        <v>10802</v>
      </c>
      <c r="O28" s="1">
        <v>10802</v>
      </c>
    </row>
    <row r="29" spans="2:15" x14ac:dyDescent="0.35">
      <c r="E29" s="11"/>
      <c r="I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8760</v>
      </c>
      <c r="G30" s="13"/>
      <c r="I30" s="11"/>
      <c r="J30" s="23"/>
      <c r="N30" s="1">
        <f t="shared" si="0"/>
        <v>9570</v>
      </c>
      <c r="O30" s="1">
        <v>9570</v>
      </c>
    </row>
    <row r="31" spans="2:15" x14ac:dyDescent="0.35">
      <c r="E31" s="11"/>
      <c r="I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v>0</v>
      </c>
      <c r="I32" s="11"/>
      <c r="N32" s="1">
        <f t="shared" si="0"/>
        <v>10750</v>
      </c>
      <c r="O32" s="1">
        <v>10750</v>
      </c>
    </row>
    <row r="33" spans="1:256" x14ac:dyDescent="0.35">
      <c r="E33" s="11"/>
      <c r="I33" s="11"/>
      <c r="N33" s="1">
        <f t="shared" si="0"/>
        <v>11732</v>
      </c>
      <c r="O33" s="1">
        <v>11732</v>
      </c>
    </row>
    <row r="34" spans="1:256" s="79" customFormat="1" x14ac:dyDescent="0.35">
      <c r="A34" s="76"/>
      <c r="B34" s="76"/>
      <c r="C34" s="76" t="s">
        <v>120</v>
      </c>
      <c r="D34" s="76"/>
      <c r="E34" s="77">
        <f>E30-E32</f>
        <v>8760</v>
      </c>
      <c r="F34" s="76"/>
      <c r="G34" s="76"/>
      <c r="H34" s="76"/>
      <c r="I34" s="78"/>
      <c r="J34" s="76"/>
      <c r="K34" s="76"/>
      <c r="L34" s="76"/>
      <c r="M34" s="76"/>
      <c r="N34" s="76">
        <f t="shared" si="0"/>
        <v>10934</v>
      </c>
      <c r="O34" s="76">
        <v>10934</v>
      </c>
      <c r="P34" s="76"/>
      <c r="Q34" s="76"/>
      <c r="R34" s="76">
        <v>700</v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spans="1:256" ht="15.5" x14ac:dyDescent="0.35">
      <c r="B35" s="10" t="s">
        <v>12</v>
      </c>
      <c r="C35" s="4" t="s">
        <v>127</v>
      </c>
      <c r="I35" s="11"/>
      <c r="N35" s="1">
        <f t="shared" si="0"/>
        <v>10270</v>
      </c>
      <c r="O35" s="1">
        <v>10270</v>
      </c>
    </row>
    <row r="36" spans="1:256" ht="18.5" x14ac:dyDescent="0.45">
      <c r="A36" s="1" t="s">
        <v>95</v>
      </c>
      <c r="B36" s="14" t="s">
        <v>82</v>
      </c>
      <c r="I36" s="11"/>
      <c r="N36" s="1">
        <f t="shared" si="0"/>
        <v>10598</v>
      </c>
      <c r="O36" s="1">
        <v>10598</v>
      </c>
    </row>
    <row r="37" spans="1:256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256" x14ac:dyDescent="0.35">
      <c r="B38" s="15"/>
      <c r="I38" s="13"/>
      <c r="N38" s="1">
        <f t="shared" si="0"/>
        <v>8770</v>
      </c>
      <c r="O38" s="1">
        <v>8770</v>
      </c>
    </row>
    <row r="39" spans="1:256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256" hidden="1" x14ac:dyDescent="0.35">
      <c r="B40" s="15"/>
      <c r="I40" s="13"/>
    </row>
    <row r="41" spans="1:256" x14ac:dyDescent="0.35">
      <c r="A41" s="1" t="s">
        <v>98</v>
      </c>
      <c r="B41" s="15" t="s">
        <v>81</v>
      </c>
      <c r="I41" s="11"/>
    </row>
    <row r="42" spans="1:256" x14ac:dyDescent="0.35">
      <c r="A42" s="1" t="s">
        <v>99</v>
      </c>
      <c r="B42" s="15" t="s">
        <v>102</v>
      </c>
      <c r="I42" s="11"/>
    </row>
    <row r="43" spans="1:256" x14ac:dyDescent="0.35">
      <c r="A43" s="1" t="s">
        <v>100</v>
      </c>
      <c r="B43" s="4" t="s">
        <v>140</v>
      </c>
      <c r="I43" s="11"/>
    </row>
    <row r="44" spans="1:256" x14ac:dyDescent="0.35">
      <c r="B44" s="4" t="s">
        <v>80</v>
      </c>
      <c r="I44" s="11"/>
    </row>
    <row r="45" spans="1:256" x14ac:dyDescent="0.35">
      <c r="A45" s="16"/>
      <c r="B45" s="4" t="s">
        <v>14</v>
      </c>
      <c r="G45" s="16"/>
      <c r="H45" s="16"/>
    </row>
    <row r="46" spans="1:256" x14ac:dyDescent="0.35">
      <c r="B46" s="4" t="s">
        <v>15</v>
      </c>
    </row>
    <row r="47" spans="1:256" ht="32" x14ac:dyDescent="0.7">
      <c r="B47" s="17" t="s">
        <v>199</v>
      </c>
      <c r="C47" s="18"/>
      <c r="D47" s="18"/>
      <c r="E47" s="18"/>
    </row>
    <row r="48" spans="1:256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235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V53"/>
  <sheetViews>
    <sheetView topLeftCell="B39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1.54296875" style="1" customWidth="1"/>
    <col min="3" max="3" width="40" style="1" customWidth="1"/>
    <col min="4" max="4" width="13.81640625" style="1" customWidth="1"/>
    <col min="5" max="5" width="17.7265625" style="1" customWidth="1"/>
    <col min="6" max="6" width="9.54296875" style="1" hidden="1" customWidth="1"/>
    <col min="7" max="7" width="9.1796875" style="1" customWidth="1"/>
    <col min="8" max="8" width="13.1796875" style="1" customWidth="1"/>
    <col min="9" max="9" width="17.5429687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'hse1'!H4+7-1</f>
        <v>20242007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">
        <v>208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1" t="s">
        <v>22</v>
      </c>
      <c r="N8" s="1">
        <f t="shared" si="0"/>
        <v>9250</v>
      </c>
      <c r="O8" s="1">
        <v>9250</v>
      </c>
    </row>
    <row r="9" spans="2:15" x14ac:dyDescent="0.35">
      <c r="C9" s="5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2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meter!D9</f>
        <v>630</v>
      </c>
      <c r="C16" s="8">
        <f>meter!E9</f>
        <v>630</v>
      </c>
      <c r="D16" s="8" t="s">
        <v>19</v>
      </c>
      <c r="E16" s="9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92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20</v>
      </c>
      <c r="E18" s="11"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18</v>
      </c>
      <c r="E20" s="1">
        <f>meter!H9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18</v>
      </c>
      <c r="E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18</v>
      </c>
      <c r="E24" s="11">
        <v>8500</v>
      </c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 t="str">
        <f>'hse1'!C26</f>
        <v>security</v>
      </c>
      <c r="D26" s="1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E27" s="1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79</v>
      </c>
      <c r="D28" s="1" t="s">
        <v>18</v>
      </c>
      <c r="E28" s="11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8760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v>0</v>
      </c>
      <c r="N32" s="1">
        <f t="shared" si="0"/>
        <v>10750</v>
      </c>
      <c r="O32" s="1">
        <v>10750</v>
      </c>
    </row>
    <row r="33" spans="1:256" x14ac:dyDescent="0.35">
      <c r="E33" s="11"/>
      <c r="N33" s="1">
        <f t="shared" si="0"/>
        <v>11732</v>
      </c>
      <c r="O33" s="1">
        <v>11732</v>
      </c>
    </row>
    <row r="34" spans="1:256" s="79" customFormat="1" x14ac:dyDescent="0.35">
      <c r="A34" s="76"/>
      <c r="B34" s="76"/>
      <c r="C34" s="76" t="s">
        <v>120</v>
      </c>
      <c r="D34" s="76"/>
      <c r="E34" s="77">
        <f>E30-E32</f>
        <v>8760</v>
      </c>
      <c r="F34" s="76"/>
      <c r="G34" s="76"/>
      <c r="H34" s="76"/>
      <c r="I34" s="76"/>
      <c r="J34" s="76"/>
      <c r="K34" s="76"/>
      <c r="L34" s="76"/>
      <c r="M34" s="76"/>
      <c r="N34" s="76">
        <f t="shared" si="0"/>
        <v>10934</v>
      </c>
      <c r="O34" s="76">
        <v>10934</v>
      </c>
      <c r="P34" s="76"/>
      <c r="Q34" s="76"/>
      <c r="R34" s="76">
        <v>700</v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spans="1:256" ht="15.5" x14ac:dyDescent="0.35">
      <c r="B35" s="10" t="s">
        <v>12</v>
      </c>
      <c r="N35" s="1">
        <f t="shared" si="0"/>
        <v>10270</v>
      </c>
      <c r="O35" s="1">
        <v>10270</v>
      </c>
    </row>
    <row r="36" spans="1:256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256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256" x14ac:dyDescent="0.35">
      <c r="B38" s="15"/>
      <c r="N38" s="1">
        <f t="shared" si="0"/>
        <v>8770</v>
      </c>
      <c r="O38" s="1">
        <v>8770</v>
      </c>
    </row>
    <row r="39" spans="1:256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256" hidden="1" x14ac:dyDescent="0.35">
      <c r="B40" s="15"/>
    </row>
    <row r="41" spans="1:256" x14ac:dyDescent="0.35">
      <c r="A41" s="1" t="s">
        <v>98</v>
      </c>
      <c r="B41" s="15" t="s">
        <v>81</v>
      </c>
    </row>
    <row r="42" spans="1:256" x14ac:dyDescent="0.35">
      <c r="A42" s="1" t="s">
        <v>99</v>
      </c>
      <c r="B42" s="15" t="s">
        <v>102</v>
      </c>
      <c r="I42" s="16"/>
    </row>
    <row r="43" spans="1:256" x14ac:dyDescent="0.35">
      <c r="A43" s="1" t="s">
        <v>100</v>
      </c>
      <c r="B43" s="4" t="s">
        <v>140</v>
      </c>
    </row>
    <row r="44" spans="1:256" x14ac:dyDescent="0.35">
      <c r="B44" s="4" t="s">
        <v>80</v>
      </c>
    </row>
    <row r="45" spans="1:256" x14ac:dyDescent="0.35">
      <c r="A45" s="16"/>
      <c r="B45" s="4" t="s">
        <v>14</v>
      </c>
      <c r="G45" s="16"/>
      <c r="H45" s="16"/>
    </row>
    <row r="46" spans="1:256" x14ac:dyDescent="0.35">
      <c r="B46" s="4" t="s">
        <v>15</v>
      </c>
    </row>
    <row r="47" spans="1:256" ht="32" x14ac:dyDescent="0.7">
      <c r="B47" s="17" t="s">
        <v>199</v>
      </c>
      <c r="C47" s="18"/>
      <c r="D47" s="18"/>
      <c r="E47" s="18"/>
    </row>
    <row r="48" spans="1:256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236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V53"/>
  <sheetViews>
    <sheetView topLeftCell="A26" zoomScale="60" workbookViewId="0">
      <selection activeCell="B51" sqref="B51:K51"/>
    </sheetView>
  </sheetViews>
  <sheetFormatPr defaultColWidth="9" defaultRowHeight="14.5" x14ac:dyDescent="0.35"/>
  <cols>
    <col min="1" max="1" width="5.81640625" style="1" customWidth="1"/>
    <col min="2" max="2" width="22.7265625" style="1" customWidth="1"/>
    <col min="3" max="3" width="31.54296875" style="1" customWidth="1"/>
    <col min="4" max="4" width="9.1796875" style="1" customWidth="1"/>
    <col min="5" max="5" width="15.7265625" style="1" customWidth="1"/>
    <col min="6" max="6" width="9.1796875" style="1" hidden="1" customWidth="1"/>
    <col min="7" max="7" width="9.1796875" style="1" customWidth="1"/>
    <col min="8" max="8" width="13.7265625" style="1" customWidth="1"/>
    <col min="9" max="9" width="2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'hse1'!H4+8-1</f>
        <v>20242008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meter!A10</f>
        <v>JAMES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24" t="s">
        <v>23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meter!D10</f>
        <v>48</v>
      </c>
      <c r="C16" s="8">
        <f>meter!E10</f>
        <v>53</v>
      </c>
      <c r="D16" s="8" t="s">
        <v>19</v>
      </c>
      <c r="E16" s="9">
        <f>C16-B16</f>
        <v>5</v>
      </c>
      <c r="N16" s="1">
        <f t="shared" si="0"/>
        <v>9420</v>
      </c>
      <c r="O16" s="1">
        <v>9420</v>
      </c>
    </row>
    <row r="17" spans="2:15" x14ac:dyDescent="0.35">
      <c r="E17" s="1" t="s">
        <v>91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20</v>
      </c>
      <c r="E18" s="11">
        <f>meter!O10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18</v>
      </c>
      <c r="E20" s="1">
        <f>meter!H10</f>
        <v>1100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18</v>
      </c>
      <c r="E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18</v>
      </c>
      <c r="E24" s="11">
        <f>meter!N10</f>
        <v>10500</v>
      </c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 t="str">
        <f>'hse1'!C26</f>
        <v>security</v>
      </c>
      <c r="D26" s="1" t="str">
        <f>'hse1'!D26</f>
        <v>Kshs.</v>
      </c>
      <c r="E26" s="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31</v>
      </c>
      <c r="E27" s="1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79</v>
      </c>
      <c r="D28" s="1" t="s">
        <v>18</v>
      </c>
      <c r="E28" s="11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12360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meter!R10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12360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237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V53"/>
  <sheetViews>
    <sheetView topLeftCell="A44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3.7265625" style="1" customWidth="1"/>
    <col min="3" max="3" width="24.54296875" style="1" customWidth="1"/>
    <col min="4" max="4" width="5.1796875" style="1" customWidth="1"/>
    <col min="5" max="5" width="12.54296875" style="1" customWidth="1"/>
    <col min="6" max="7" width="9.1796875" style="1" customWidth="1"/>
    <col min="8" max="8" width="13.81640625" style="1" customWidth="1"/>
    <col min="9" max="9" width="12.4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'hse1'!H4+9-1</f>
        <v>20242009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meter!A11</f>
        <v>CHERRYL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88</v>
      </c>
      <c r="C8" s="1" t="s">
        <v>24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meter!D11</f>
        <v>193</v>
      </c>
      <c r="C16" s="8">
        <f>meter!E11</f>
        <v>196</v>
      </c>
      <c r="D16" s="8" t="s">
        <v>19</v>
      </c>
      <c r="E16" s="9">
        <f>C16-B16</f>
        <v>3</v>
      </c>
      <c r="N16" s="1">
        <f t="shared" si="0"/>
        <v>9420</v>
      </c>
      <c r="O16" s="1">
        <v>9420</v>
      </c>
    </row>
    <row r="17" spans="2:15" x14ac:dyDescent="0.35">
      <c r="E17" s="1" t="s">
        <v>91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20</v>
      </c>
      <c r="E18" s="11">
        <f>meter!O11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18</v>
      </c>
      <c r="E20" s="1">
        <f>meter!H11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18</v>
      </c>
      <c r="E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18</v>
      </c>
      <c r="E24" s="11">
        <f>meter!N11</f>
        <v>10500</v>
      </c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 t="str">
        <f>'hse1'!C26</f>
        <v>security</v>
      </c>
      <c r="D26" s="1" t="str">
        <f>'hse1'!D26</f>
        <v>Kshs.</v>
      </c>
      <c r="E26" s="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31</v>
      </c>
      <c r="E27" s="1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104</v>
      </c>
      <c r="D28" s="1" t="s">
        <v>18</v>
      </c>
      <c r="E28" s="11">
        <f>IF(E18*4%*1&lt;0,0,E18*4%*1)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11920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meter!R11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11920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238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V53"/>
  <sheetViews>
    <sheetView topLeftCell="B33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6" style="1" customWidth="1"/>
    <col min="3" max="3" width="31.26953125" style="1" customWidth="1"/>
    <col min="4" max="4" width="9.1796875" style="1" customWidth="1"/>
    <col min="5" max="5" width="17.7265625" style="1" customWidth="1"/>
    <col min="6" max="7" width="9.1796875" style="1" customWidth="1"/>
    <col min="8" max="8" width="11.81640625" style="1" customWidth="1"/>
    <col min="9" max="9" width="14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'hse1'!H4+10-1</f>
        <v>20242010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meter!A12</f>
        <v>JACK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1" t="s">
        <v>25</v>
      </c>
      <c r="N8" s="1">
        <f t="shared" si="0"/>
        <v>9250</v>
      </c>
      <c r="O8" s="1">
        <v>9250</v>
      </c>
    </row>
    <row r="9" spans="2:15" x14ac:dyDescent="0.35">
      <c r="C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meter!D12</f>
        <v>66</v>
      </c>
      <c r="C16" s="8">
        <f>meter!E12</f>
        <v>70</v>
      </c>
      <c r="D16" s="8" t="s">
        <v>19</v>
      </c>
      <c r="E16" s="9">
        <f>C16-B16</f>
        <v>4</v>
      </c>
      <c r="N16" s="1">
        <f t="shared" si="0"/>
        <v>9420</v>
      </c>
      <c r="O16" s="1">
        <v>9420</v>
      </c>
    </row>
    <row r="17" spans="2:15" x14ac:dyDescent="0.35">
      <c r="E17" s="1" t="s">
        <v>92</v>
      </c>
      <c r="G17" s="11"/>
      <c r="H17" s="11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20</v>
      </c>
      <c r="G18" s="11"/>
      <c r="H18" s="11"/>
      <c r="N18" s="1">
        <f t="shared" si="0"/>
        <v>10430</v>
      </c>
      <c r="O18" s="1">
        <v>10430</v>
      </c>
    </row>
    <row r="19" spans="2:15" ht="15.5" x14ac:dyDescent="0.35">
      <c r="B19" s="10"/>
      <c r="E19" s="11"/>
      <c r="G19" s="11"/>
      <c r="H19" s="11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18</v>
      </c>
      <c r="E20" s="1">
        <f>meter!H12</f>
        <v>880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18</v>
      </c>
      <c r="E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18</v>
      </c>
      <c r="E24" s="11">
        <f>meter!N12</f>
        <v>10500</v>
      </c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 t="str">
        <f>'hse1'!C26</f>
        <v>security</v>
      </c>
      <c r="D26" s="1" t="s">
        <v>18</v>
      </c>
      <c r="E26" s="1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18</v>
      </c>
      <c r="E27" s="1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89</v>
      </c>
      <c r="D28" s="1" t="s">
        <v>18</v>
      </c>
      <c r="E28" s="11">
        <f>IF(E18*4%*1&lt;0,0,E18*4%*1)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12140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meter!R12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12140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239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V53"/>
  <sheetViews>
    <sheetView topLeftCell="A28" zoomScale="60" workbookViewId="0">
      <selection activeCell="B51" sqref="B51:K51"/>
    </sheetView>
  </sheetViews>
  <sheetFormatPr defaultColWidth="9" defaultRowHeight="14.5" x14ac:dyDescent="0.35"/>
  <cols>
    <col min="1" max="1" width="4.54296875" style="1" customWidth="1"/>
    <col min="2" max="2" width="23.81640625" style="1" customWidth="1"/>
    <col min="3" max="3" width="31" style="1" customWidth="1"/>
    <col min="4" max="4" width="10.26953125" style="1" customWidth="1"/>
    <col min="5" max="5" width="15.453125" style="1" customWidth="1"/>
    <col min="6" max="6" width="9.1796875" style="1" hidden="1" customWidth="1"/>
    <col min="7" max="7" width="9.1796875" style="1" customWidth="1"/>
    <col min="8" max="8" width="15.269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'hse1'!H4+11-1</f>
        <v>20242011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meter!A13</f>
        <v>JAMES NGUGI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C8" s="1" t="s">
        <v>26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meter!D13</f>
        <v>413</v>
      </c>
      <c r="C16" s="8">
        <f>meter!E13</f>
        <v>415</v>
      </c>
      <c r="D16" s="8" t="s">
        <v>19</v>
      </c>
      <c r="E16" s="9">
        <f>C16-B16</f>
        <v>2</v>
      </c>
      <c r="N16" s="1">
        <f t="shared" si="0"/>
        <v>9420</v>
      </c>
      <c r="O16" s="1">
        <v>9420</v>
      </c>
    </row>
    <row r="17" spans="2:15" x14ac:dyDescent="0.35">
      <c r="E17" s="1" t="s">
        <v>91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20</v>
      </c>
      <c r="E18" s="1">
        <f>meter!O13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18</v>
      </c>
      <c r="E20" s="11">
        <f>meter!H13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113</v>
      </c>
      <c r="D22" s="1" t="s">
        <v>18</v>
      </c>
      <c r="E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34</v>
      </c>
      <c r="D24" s="1" t="s">
        <v>18</v>
      </c>
      <c r="E24" s="11">
        <v>9500</v>
      </c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 t="str">
        <f>'hse1'!C26</f>
        <v>security</v>
      </c>
      <c r="D26" s="1" t="s">
        <v>18</v>
      </c>
      <c r="E26" s="11">
        <v>500</v>
      </c>
      <c r="N26" s="1">
        <f t="shared" si="0"/>
        <v>11550</v>
      </c>
      <c r="O26" s="1">
        <v>11550</v>
      </c>
    </row>
    <row r="27" spans="2:15" x14ac:dyDescent="0.35">
      <c r="C27" s="12" t="s">
        <v>170</v>
      </c>
      <c r="D27" s="12" t="s">
        <v>18</v>
      </c>
      <c r="E27" s="11">
        <v>150</v>
      </c>
      <c r="N27" s="1">
        <f t="shared" si="0"/>
        <v>11393</v>
      </c>
      <c r="O27" s="1">
        <v>11393</v>
      </c>
    </row>
    <row r="28" spans="2:15" x14ac:dyDescent="0.35">
      <c r="C28" s="1" t="s">
        <v>89</v>
      </c>
      <c r="D28" s="1" t="s">
        <v>18</v>
      </c>
      <c r="E28" s="11">
        <f>IF(E18*4%*1&lt;0,0,E18*4%*1)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31</v>
      </c>
      <c r="E30" s="11">
        <f>SUM(E17:E29)</f>
        <v>10700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>
        <f>meter!R13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120</v>
      </c>
      <c r="E34" s="13">
        <f>E30-E32</f>
        <v>10700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240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V53"/>
  <sheetViews>
    <sheetView topLeftCell="A27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5.453125" style="1" customWidth="1"/>
    <col min="3" max="3" width="0.1796875" style="1" customWidth="1"/>
    <col min="4" max="4" width="29.81640625" style="1" customWidth="1"/>
    <col min="5" max="5" width="9.1796875" style="1" customWidth="1"/>
    <col min="6" max="6" width="13.54296875" style="1" customWidth="1"/>
    <col min="7" max="9" width="9.1796875" style="1" customWidth="1"/>
    <col min="10" max="10" width="12.54296875" style="1" customWidth="1"/>
    <col min="11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'hse1'!H4+12-1</f>
        <v>20242012</v>
      </c>
      <c r="J4" s="1">
        <f>'hse1'!H4+12-1</f>
        <v>20242012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meter!A14</f>
        <v>LIMO</v>
      </c>
      <c r="N6" s="1">
        <f t="shared" si="0"/>
        <v>11070</v>
      </c>
      <c r="O6" s="1">
        <v>11070</v>
      </c>
    </row>
    <row r="7" spans="2:15" x14ac:dyDescent="0.35">
      <c r="D7" s="4"/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27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meter!D14</f>
        <v>212</v>
      </c>
      <c r="C16" s="8"/>
      <c r="D16" s="8">
        <f>meter!E14</f>
        <v>224</v>
      </c>
      <c r="E16" s="8" t="s">
        <v>19</v>
      </c>
      <c r="F16" s="9">
        <f>D16-B16</f>
        <v>12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8</v>
      </c>
      <c r="E18" s="1" t="s">
        <v>20</v>
      </c>
      <c r="F18" s="1">
        <f>meter!O14</f>
        <v>677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meter!H14</f>
        <v>2640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f>meter!N14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">
        <v>39</v>
      </c>
      <c r="E26" s="1" t="s">
        <v>18</v>
      </c>
      <c r="F26" s="11"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89</v>
      </c>
      <c r="E28" s="1" t="s">
        <v>18</v>
      </c>
      <c r="F28" s="11">
        <f>IF(F18*4%*1&lt;0,0,F18*4%*1)</f>
        <v>27.080000000000002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11</v>
      </c>
      <c r="E30" s="1" t="s">
        <v>31</v>
      </c>
      <c r="F30" s="11">
        <f>SUM(F17:F29)</f>
        <v>14604.08</v>
      </c>
      <c r="G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D32" s="1" t="s">
        <v>43</v>
      </c>
      <c r="F32" s="11">
        <f>meter!R14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C34" s="1" t="s">
        <v>119</v>
      </c>
      <c r="D34" s="1" t="s">
        <v>120</v>
      </c>
      <c r="F34" s="13">
        <f>F30-F32</f>
        <v>14604.08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  <c r="I42" s="16"/>
      <c r="J42" s="16"/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4" t="s">
        <v>241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V53"/>
  <sheetViews>
    <sheetView topLeftCell="B50" zoomScale="60" workbookViewId="0">
      <selection activeCell="B51" sqref="B51:K51"/>
    </sheetView>
  </sheetViews>
  <sheetFormatPr defaultColWidth="9" defaultRowHeight="18.5" x14ac:dyDescent="0.45"/>
  <cols>
    <col min="1" max="1" width="4.453125" style="25" customWidth="1"/>
    <col min="2" max="2" width="24.54296875" style="25" customWidth="1"/>
    <col min="3" max="3" width="2.81640625" style="25" customWidth="1"/>
    <col min="4" max="4" width="23.54296875" style="25" customWidth="1"/>
    <col min="5" max="5" width="14.54296875" style="25" customWidth="1"/>
    <col min="6" max="6" width="18.453125" style="25" customWidth="1"/>
    <col min="7" max="7" width="13.26953125" style="25" customWidth="1"/>
    <col min="8" max="8" width="14.453125" style="25" customWidth="1"/>
    <col min="9" max="13" width="9.1796875" style="25" customWidth="1"/>
    <col min="14" max="14" width="9.81640625" style="25" customWidth="1"/>
    <col min="15" max="15" width="13.54296875" style="25" customWidth="1"/>
    <col min="16" max="17" width="9.1796875" style="25" customWidth="1"/>
    <col min="18" max="18" width="0" style="25" hidden="1"/>
    <col min="19" max="256" width="9.1796875" style="25" customWidth="1"/>
    <col min="257" max="16384" width="9" style="26"/>
  </cols>
  <sheetData>
    <row r="2" spans="2:15" x14ac:dyDescent="0.45">
      <c r="B2" s="27" t="s">
        <v>144</v>
      </c>
      <c r="N2" s="25" t="s">
        <v>160</v>
      </c>
      <c r="O2" s="25" t="s">
        <v>159</v>
      </c>
    </row>
    <row r="3" spans="2:15" x14ac:dyDescent="0.45">
      <c r="B3" s="27" t="str">
        <f>'hse1'!B3</f>
        <v>P.O BOX 9473-00200 NAIROBI</v>
      </c>
      <c r="N3" s="25">
        <f>O3-Q3</f>
        <v>10270</v>
      </c>
      <c r="O3" s="25">
        <v>10270</v>
      </c>
    </row>
    <row r="4" spans="2:15" x14ac:dyDescent="0.45">
      <c r="B4" s="27" t="s">
        <v>0</v>
      </c>
      <c r="G4" s="25" t="s">
        <v>6</v>
      </c>
      <c r="H4" s="25">
        <f>'hse1'!H4+13-1</f>
        <v>20242013</v>
      </c>
      <c r="N4" s="25">
        <f t="shared" ref="N4:N38" si="0">O4-Q4</f>
        <v>10304</v>
      </c>
      <c r="O4" s="25">
        <v>10304</v>
      </c>
    </row>
    <row r="5" spans="2:15" x14ac:dyDescent="0.45">
      <c r="N5" s="25">
        <f t="shared" si="0"/>
        <v>10988</v>
      </c>
      <c r="O5" s="25">
        <v>10988</v>
      </c>
    </row>
    <row r="6" spans="2:15" x14ac:dyDescent="0.45">
      <c r="B6" s="25" t="s">
        <v>7</v>
      </c>
      <c r="D6" s="27" t="str">
        <f>meter!A15</f>
        <v>HARRIET</v>
      </c>
      <c r="N6" s="25">
        <f t="shared" si="0"/>
        <v>11070</v>
      </c>
      <c r="O6" s="25">
        <v>11070</v>
      </c>
    </row>
    <row r="7" spans="2:15" x14ac:dyDescent="0.45">
      <c r="N7" s="25">
        <f t="shared" si="0"/>
        <v>1197</v>
      </c>
      <c r="O7" s="25">
        <v>1197</v>
      </c>
    </row>
    <row r="8" spans="2:15" x14ac:dyDescent="0.45">
      <c r="B8" s="25" t="s">
        <v>86</v>
      </c>
      <c r="D8" s="25" t="s">
        <v>28</v>
      </c>
      <c r="N8" s="25">
        <f t="shared" si="0"/>
        <v>9250</v>
      </c>
      <c r="O8" s="25">
        <v>9250</v>
      </c>
    </row>
    <row r="9" spans="2:15" x14ac:dyDescent="0.45">
      <c r="N9" s="25">
        <f t="shared" si="0"/>
        <v>8770</v>
      </c>
      <c r="O9" s="25">
        <v>8770</v>
      </c>
    </row>
    <row r="10" spans="2:15" x14ac:dyDescent="0.45">
      <c r="B10" s="25" t="s">
        <v>1</v>
      </c>
      <c r="D10" s="28" t="str">
        <f>'hse1'!C10</f>
        <v>27/1/2026</v>
      </c>
      <c r="N10" s="25">
        <f t="shared" si="0"/>
        <v>23190</v>
      </c>
      <c r="O10" s="25">
        <v>23190</v>
      </c>
    </row>
    <row r="11" spans="2:15" x14ac:dyDescent="0.45">
      <c r="N11" s="25">
        <f t="shared" si="0"/>
        <v>10910</v>
      </c>
      <c r="O11" s="25">
        <v>10910</v>
      </c>
    </row>
    <row r="12" spans="2:15" x14ac:dyDescent="0.45">
      <c r="B12" s="25" t="s">
        <v>2</v>
      </c>
      <c r="D12" s="28">
        <f>'hse1'!C12</f>
        <v>46144</v>
      </c>
      <c r="N12" s="25">
        <f t="shared" si="0"/>
        <v>10910</v>
      </c>
      <c r="O12" s="25">
        <v>10910</v>
      </c>
    </row>
    <row r="13" spans="2:15" x14ac:dyDescent="0.45">
      <c r="C13" s="25" t="s">
        <v>54</v>
      </c>
      <c r="N13" s="25">
        <f t="shared" si="0"/>
        <v>12190</v>
      </c>
      <c r="O13" s="25">
        <v>12190</v>
      </c>
    </row>
    <row r="14" spans="2:15" x14ac:dyDescent="0.45">
      <c r="N14" s="25">
        <f t="shared" si="0"/>
        <v>11070</v>
      </c>
      <c r="O14" s="25">
        <v>11070</v>
      </c>
    </row>
    <row r="15" spans="2:15" x14ac:dyDescent="0.45">
      <c r="B15" s="29" t="s">
        <v>3</v>
      </c>
      <c r="D15" s="29" t="s">
        <v>4</v>
      </c>
      <c r="F15" s="25" t="s">
        <v>5</v>
      </c>
      <c r="N15" s="25">
        <f t="shared" si="0"/>
        <v>9090</v>
      </c>
      <c r="O15" s="25">
        <v>9090</v>
      </c>
    </row>
    <row r="16" spans="2:15" x14ac:dyDescent="0.45">
      <c r="B16" s="30">
        <f>meter!D15</f>
        <v>158</v>
      </c>
      <c r="C16" s="30"/>
      <c r="D16" s="30">
        <f>meter!E15</f>
        <v>159</v>
      </c>
      <c r="E16" s="30" t="s">
        <v>19</v>
      </c>
      <c r="F16" s="31">
        <f>D16-B16</f>
        <v>1</v>
      </c>
      <c r="G16" s="32"/>
      <c r="N16" s="25">
        <f t="shared" si="0"/>
        <v>9420</v>
      </c>
      <c r="O16" s="25">
        <v>9420</v>
      </c>
    </row>
    <row r="17" spans="2:15" x14ac:dyDescent="0.45">
      <c r="F17" s="25" t="s">
        <v>91</v>
      </c>
      <c r="G17" s="32"/>
      <c r="N17" s="25">
        <f t="shared" si="0"/>
        <v>11154</v>
      </c>
      <c r="O17" s="25">
        <v>11154</v>
      </c>
    </row>
    <row r="18" spans="2:15" x14ac:dyDescent="0.45">
      <c r="D18" s="25" t="s">
        <v>40</v>
      </c>
      <c r="E18" s="25" t="s">
        <v>20</v>
      </c>
      <c r="F18" s="33">
        <f>meter!O15</f>
        <v>0</v>
      </c>
      <c r="G18" s="34"/>
      <c r="N18" s="25">
        <f t="shared" si="0"/>
        <v>10430</v>
      </c>
      <c r="O18" s="25">
        <v>10430</v>
      </c>
    </row>
    <row r="19" spans="2:15" x14ac:dyDescent="0.45">
      <c r="B19" s="27"/>
      <c r="G19" s="32"/>
      <c r="N19" s="25">
        <f t="shared" si="0"/>
        <v>11831</v>
      </c>
      <c r="O19" s="25">
        <v>11831</v>
      </c>
    </row>
    <row r="20" spans="2:15" x14ac:dyDescent="0.45">
      <c r="D20" s="25" t="s">
        <v>9</v>
      </c>
      <c r="E20" s="25" t="s">
        <v>18</v>
      </c>
      <c r="F20" s="25">
        <f>meter!H15</f>
        <v>220</v>
      </c>
      <c r="G20" s="33"/>
      <c r="N20" s="25">
        <f t="shared" si="0"/>
        <v>10590</v>
      </c>
      <c r="O20" s="25">
        <v>10590</v>
      </c>
    </row>
    <row r="21" spans="2:15" x14ac:dyDescent="0.45">
      <c r="G21" s="33"/>
      <c r="N21" s="25">
        <f t="shared" si="0"/>
        <v>22423</v>
      </c>
      <c r="O21" s="25">
        <v>22423</v>
      </c>
    </row>
    <row r="22" spans="2:15" x14ac:dyDescent="0.45">
      <c r="D22" s="25" t="s">
        <v>113</v>
      </c>
      <c r="E22" s="25" t="s">
        <v>18</v>
      </c>
      <c r="F22" s="25">
        <f>'hse1'!E22</f>
        <v>110</v>
      </c>
      <c r="N22" s="25">
        <f t="shared" si="0"/>
        <v>9250</v>
      </c>
      <c r="O22" s="25">
        <v>9250</v>
      </c>
    </row>
    <row r="23" spans="2:15" x14ac:dyDescent="0.45">
      <c r="G23" s="33"/>
      <c r="N23" s="25">
        <f t="shared" si="0"/>
        <v>10162</v>
      </c>
      <c r="O23" s="25">
        <v>10162</v>
      </c>
    </row>
    <row r="24" spans="2:15" x14ac:dyDescent="0.45">
      <c r="D24" s="25" t="s">
        <v>34</v>
      </c>
      <c r="E24" s="25" t="s">
        <v>18</v>
      </c>
      <c r="F24" s="32">
        <f>meter!N15</f>
        <v>8500</v>
      </c>
      <c r="N24" s="25">
        <f t="shared" si="0"/>
        <v>10270</v>
      </c>
      <c r="O24" s="25">
        <v>10270</v>
      </c>
    </row>
    <row r="25" spans="2:15" x14ac:dyDescent="0.45">
      <c r="F25" s="32"/>
      <c r="G25" s="33"/>
      <c r="N25" s="25">
        <f t="shared" si="0"/>
        <v>11070</v>
      </c>
      <c r="O25" s="25">
        <v>11070</v>
      </c>
    </row>
    <row r="26" spans="2:15" x14ac:dyDescent="0.45">
      <c r="D26" s="25" t="s">
        <v>39</v>
      </c>
      <c r="E26" s="25" t="s">
        <v>18</v>
      </c>
      <c r="F26" s="32">
        <f>meter!M15</f>
        <v>0</v>
      </c>
      <c r="G26" s="33"/>
      <c r="N26" s="25">
        <f t="shared" si="0"/>
        <v>11550</v>
      </c>
      <c r="O26" s="25">
        <v>11550</v>
      </c>
    </row>
    <row r="27" spans="2:15" x14ac:dyDescent="0.45">
      <c r="D27" s="25" t="s">
        <v>170</v>
      </c>
      <c r="E27" s="25" t="s">
        <v>18</v>
      </c>
      <c r="F27" s="32">
        <v>150</v>
      </c>
      <c r="G27" s="33"/>
      <c r="N27" s="25">
        <f t="shared" si="0"/>
        <v>11393</v>
      </c>
      <c r="O27" s="25">
        <v>11393</v>
      </c>
    </row>
    <row r="28" spans="2:15" x14ac:dyDescent="0.45">
      <c r="D28" s="25" t="s">
        <v>89</v>
      </c>
      <c r="E28" s="25" t="s">
        <v>18</v>
      </c>
      <c r="F28" s="32">
        <f>IF(F18*4%*1&lt;0,0,F18*4%*1)</f>
        <v>0</v>
      </c>
      <c r="G28" s="32"/>
      <c r="N28" s="25">
        <f t="shared" si="0"/>
        <v>10802</v>
      </c>
      <c r="O28" s="25">
        <v>10802</v>
      </c>
    </row>
    <row r="29" spans="2:15" x14ac:dyDescent="0.45">
      <c r="F29" s="32"/>
      <c r="G29" s="33"/>
      <c r="L29" s="25" t="s">
        <v>54</v>
      </c>
      <c r="N29" s="25">
        <f t="shared" si="0"/>
        <v>8930</v>
      </c>
      <c r="O29" s="25">
        <v>8930</v>
      </c>
    </row>
    <row r="30" spans="2:15" x14ac:dyDescent="0.45">
      <c r="D30" s="25" t="s">
        <v>11</v>
      </c>
      <c r="E30" s="25" t="s">
        <v>31</v>
      </c>
      <c r="F30" s="32">
        <f>SUM(F17:F29)</f>
        <v>8980</v>
      </c>
      <c r="G30" s="33"/>
      <c r="N30" s="25">
        <f t="shared" si="0"/>
        <v>9570</v>
      </c>
      <c r="O30" s="25">
        <v>9570</v>
      </c>
    </row>
    <row r="31" spans="2:15" x14ac:dyDescent="0.45">
      <c r="F31" s="32"/>
      <c r="N31" s="25">
        <f t="shared" si="0"/>
        <v>11390</v>
      </c>
      <c r="O31" s="25">
        <v>11390</v>
      </c>
    </row>
    <row r="32" spans="2:15" x14ac:dyDescent="0.45">
      <c r="D32" s="25" t="s">
        <v>43</v>
      </c>
      <c r="F32" s="32">
        <f>meter!R15</f>
        <v>0</v>
      </c>
      <c r="N32" s="25">
        <f t="shared" si="0"/>
        <v>10750</v>
      </c>
      <c r="O32" s="25">
        <v>10750</v>
      </c>
    </row>
    <row r="33" spans="1:18" x14ac:dyDescent="0.45">
      <c r="F33" s="32"/>
      <c r="N33" s="25">
        <f t="shared" si="0"/>
        <v>11732</v>
      </c>
      <c r="O33" s="25">
        <v>11732</v>
      </c>
    </row>
    <row r="34" spans="1:18" x14ac:dyDescent="0.45">
      <c r="D34" s="25" t="s">
        <v>120</v>
      </c>
      <c r="F34" s="33">
        <f>F30-F32</f>
        <v>8980</v>
      </c>
      <c r="N34" s="25">
        <f t="shared" si="0"/>
        <v>10934</v>
      </c>
      <c r="O34" s="25">
        <v>10934</v>
      </c>
      <c r="R34" s="25">
        <v>700</v>
      </c>
    </row>
    <row r="35" spans="1:18" x14ac:dyDescent="0.45">
      <c r="B35" s="27" t="s">
        <v>12</v>
      </c>
      <c r="N35" s="25">
        <f t="shared" si="0"/>
        <v>10270</v>
      </c>
      <c r="O35" s="25">
        <v>10270</v>
      </c>
    </row>
    <row r="36" spans="1:18" x14ac:dyDescent="0.45">
      <c r="A36" s="25" t="s">
        <v>95</v>
      </c>
      <c r="B36" s="14" t="s">
        <v>82</v>
      </c>
      <c r="N36" s="25">
        <f t="shared" si="0"/>
        <v>10598</v>
      </c>
      <c r="O36" s="25">
        <v>10598</v>
      </c>
    </row>
    <row r="37" spans="1:18" x14ac:dyDescent="0.45">
      <c r="A37" s="25" t="s">
        <v>96</v>
      </c>
      <c r="B37" s="35" t="s">
        <v>146</v>
      </c>
      <c r="N37" s="25">
        <f t="shared" si="0"/>
        <v>8770</v>
      </c>
      <c r="O37" s="25">
        <v>8770</v>
      </c>
    </row>
    <row r="38" spans="1:18" x14ac:dyDescent="0.45">
      <c r="B38" s="35"/>
      <c r="N38" s="25">
        <f t="shared" si="0"/>
        <v>8770</v>
      </c>
      <c r="O38" s="25">
        <v>8770</v>
      </c>
    </row>
    <row r="39" spans="1:18" x14ac:dyDescent="0.45">
      <c r="A39" s="25" t="s">
        <v>97</v>
      </c>
      <c r="B39" s="35" t="s">
        <v>83</v>
      </c>
      <c r="O39" s="25">
        <f>SUM(O3:O38)</f>
        <v>391268</v>
      </c>
      <c r="Q39" s="25">
        <f>SUM(Q3:Q38)</f>
        <v>0</v>
      </c>
    </row>
    <row r="40" spans="1:18" hidden="1" x14ac:dyDescent="0.45">
      <c r="B40" s="35"/>
    </row>
    <row r="41" spans="1:18" x14ac:dyDescent="0.45">
      <c r="A41" s="25" t="s">
        <v>98</v>
      </c>
      <c r="B41" s="35" t="s">
        <v>81</v>
      </c>
    </row>
    <row r="42" spans="1:18" x14ac:dyDescent="0.45">
      <c r="A42" s="25" t="s">
        <v>99</v>
      </c>
      <c r="B42" s="35" t="s">
        <v>102</v>
      </c>
      <c r="I42" s="36"/>
    </row>
    <row r="43" spans="1:18" x14ac:dyDescent="0.45">
      <c r="A43" s="25" t="s">
        <v>100</v>
      </c>
      <c r="B43" s="27" t="s">
        <v>165</v>
      </c>
    </row>
    <row r="44" spans="1:18" x14ac:dyDescent="0.45">
      <c r="B44" s="27" t="s">
        <v>80</v>
      </c>
    </row>
    <row r="45" spans="1:18" x14ac:dyDescent="0.45">
      <c r="A45" s="37"/>
      <c r="B45" s="27" t="s">
        <v>14</v>
      </c>
      <c r="G45" s="37"/>
      <c r="H45" s="37"/>
    </row>
    <row r="46" spans="1:18" x14ac:dyDescent="0.45">
      <c r="B46" s="27" t="s">
        <v>15</v>
      </c>
    </row>
    <row r="47" spans="1:18" ht="32" x14ac:dyDescent="0.7">
      <c r="B47" s="17" t="s">
        <v>199</v>
      </c>
      <c r="C47" s="18"/>
      <c r="D47" s="18"/>
      <c r="E47" s="18"/>
      <c r="F47" s="1"/>
      <c r="G47" s="1"/>
      <c r="H47" s="1"/>
      <c r="I47" s="1"/>
      <c r="J47" s="1"/>
      <c r="K47" s="1"/>
    </row>
    <row r="48" spans="1:18" x14ac:dyDescent="0.45">
      <c r="B48" s="16" t="s">
        <v>84</v>
      </c>
      <c r="C48" s="16"/>
      <c r="D48" s="16"/>
      <c r="E48" s="16"/>
      <c r="F48" s="16"/>
      <c r="G48" s="1"/>
      <c r="H48" s="1"/>
      <c r="I48" s="1"/>
      <c r="J48" s="1"/>
      <c r="K48" s="1"/>
    </row>
    <row r="49" spans="1:15" x14ac:dyDescent="0.45">
      <c r="A49" s="35"/>
      <c r="B49" s="16" t="s">
        <v>13</v>
      </c>
      <c r="C49" s="1"/>
      <c r="D49" s="1"/>
      <c r="E49" s="1"/>
      <c r="F49" s="1"/>
      <c r="G49" s="1"/>
      <c r="H49" s="1"/>
      <c r="I49" s="1"/>
      <c r="J49" s="1"/>
      <c r="K49" s="1"/>
      <c r="O49" s="25" t="s">
        <v>185</v>
      </c>
    </row>
    <row r="50" spans="1:15" ht="32" x14ac:dyDescent="0.7">
      <c r="A50" s="35"/>
      <c r="B50" s="17"/>
      <c r="C50" s="1"/>
      <c r="D50" s="1"/>
      <c r="E50" s="1"/>
      <c r="F50" s="1"/>
      <c r="G50" s="15"/>
      <c r="H50" s="15"/>
      <c r="I50" s="1"/>
      <c r="J50" s="1"/>
      <c r="K50" s="1"/>
    </row>
    <row r="51" spans="1:15" ht="32" x14ac:dyDescent="0.7">
      <c r="A51" s="35"/>
      <c r="B51" s="94" t="s">
        <v>242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45">
      <c r="A52" s="35"/>
      <c r="B52" s="15" t="s">
        <v>38</v>
      </c>
      <c r="C52" s="4"/>
      <c r="D52" s="1"/>
      <c r="E52" s="1"/>
      <c r="F52" s="1"/>
      <c r="G52" s="1"/>
      <c r="H52" s="1"/>
      <c r="I52" s="1"/>
      <c r="J52" s="1"/>
      <c r="K52" s="1"/>
    </row>
    <row r="53" spans="1:15" x14ac:dyDescent="0.45">
      <c r="B53" s="15" t="s">
        <v>16</v>
      </c>
      <c r="C53" s="15"/>
      <c r="D53" s="1"/>
      <c r="E53" s="1"/>
      <c r="F53" s="1"/>
      <c r="G53" s="1"/>
      <c r="H53" s="1"/>
      <c r="I53" s="1"/>
      <c r="J53" s="1"/>
      <c r="K53" s="1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V55"/>
  <sheetViews>
    <sheetView topLeftCell="A29" zoomScale="60" workbookViewId="0">
      <selection activeCell="B51" sqref="B51:K51"/>
    </sheetView>
  </sheetViews>
  <sheetFormatPr defaultColWidth="9" defaultRowHeight="14.5" x14ac:dyDescent="0.35"/>
  <cols>
    <col min="1" max="1" width="1.54296875" style="1" customWidth="1"/>
    <col min="2" max="2" width="22.1796875" style="1" customWidth="1"/>
    <col min="3" max="3" width="1.453125" style="1" customWidth="1"/>
    <col min="4" max="4" width="31.26953125" style="1" customWidth="1"/>
    <col min="5" max="5" width="4.54296875" style="38" customWidth="1"/>
    <col min="6" max="6" width="12.7265625" style="1" customWidth="1"/>
    <col min="7" max="7" width="9.1796875" style="1" customWidth="1"/>
    <col min="8" max="8" width="7.81640625" style="1" customWidth="1"/>
    <col min="9" max="9" width="9.1796875" style="1" hidden="1" customWidth="1"/>
    <col min="10" max="10" width="14.81640625" style="1" customWidth="1"/>
    <col min="11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'hse1'!H4+14-1</f>
        <v>20242014</v>
      </c>
      <c r="J4" s="1">
        <f>'hse1'!H4+14-1</f>
        <v>20242014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">
        <v>218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29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3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meter!D16</f>
        <v>714</v>
      </c>
      <c r="C16" s="8"/>
      <c r="D16" s="8">
        <f>meter!E16</f>
        <v>716</v>
      </c>
      <c r="E16" s="38" t="s">
        <v>19</v>
      </c>
      <c r="F16" s="9">
        <f>D16-B16</f>
        <v>2</v>
      </c>
      <c r="H16" s="1" t="s">
        <v>142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20</v>
      </c>
      <c r="F18" s="11">
        <f>meter!O16</f>
        <v>820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meter!H16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v>8500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">
        <v>39</v>
      </c>
      <c r="E26" s="38" t="str">
        <f>'hse1'!D26</f>
        <v>Kshs.</v>
      </c>
      <c r="F26" s="1"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103</v>
      </c>
      <c r="E28" s="1" t="s">
        <v>18</v>
      </c>
      <c r="F28" s="11">
        <f>IF(F18*4%*1&lt;0,0,F18*4%*1)</f>
        <v>32.799999999999997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10552.8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meter!R16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10552.8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4" t="s">
        <v>243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V55"/>
  <sheetViews>
    <sheetView topLeftCell="B20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1.26953125" style="1" customWidth="1"/>
    <col min="3" max="3" width="0.26953125" style="1" customWidth="1"/>
    <col min="4" max="4" width="28.7265625" style="1" customWidth="1"/>
    <col min="5" max="5" width="13.1796875" style="38" customWidth="1"/>
    <col min="6" max="6" width="12.54296875" style="1" customWidth="1"/>
    <col min="7" max="7" width="1" style="1" customWidth="1"/>
    <col min="8" max="8" width="9.1796875" style="1" customWidth="1"/>
    <col min="9" max="9" width="9.26953125" style="1" customWidth="1"/>
    <col min="10" max="10" width="13.4531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'hse1'!H4+15-1</f>
        <v>20242015</v>
      </c>
      <c r="J4" s="1">
        <f>'hse1'!H4+15-1</f>
        <v>20242015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meter!A17</f>
        <v>ASHA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59</v>
      </c>
      <c r="N8" s="1">
        <f t="shared" si="0"/>
        <v>9250</v>
      </c>
      <c r="O8" s="1">
        <v>9250</v>
      </c>
    </row>
    <row r="9" spans="2:15" x14ac:dyDescent="0.35">
      <c r="D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3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meter!D17</f>
        <v>195</v>
      </c>
      <c r="C16" s="8"/>
      <c r="D16" s="8">
        <f>meter!E17</f>
        <v>200</v>
      </c>
      <c r="E16" s="38" t="s">
        <v>19</v>
      </c>
      <c r="F16" s="9">
        <f>D16-B16</f>
        <v>5</v>
      </c>
      <c r="N16" s="1">
        <f t="shared" si="0"/>
        <v>9420</v>
      </c>
      <c r="O16" s="1">
        <v>9420</v>
      </c>
    </row>
    <row r="17" spans="2:15" x14ac:dyDescent="0.35">
      <c r="F17" s="1" t="s">
        <v>92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20</v>
      </c>
      <c r="F18" s="11">
        <f>meter!O17</f>
        <v>677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meter!H17</f>
        <v>1100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meter!N17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103</v>
      </c>
      <c r="E28" s="1" t="s">
        <v>18</v>
      </c>
      <c r="F28" s="11">
        <f>IF(F18*4%*1&lt;0,0,F18*4%*1)</f>
        <v>27.080000000000002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121</v>
      </c>
      <c r="E30" s="1" t="s">
        <v>31</v>
      </c>
      <c r="F30" s="13">
        <f>SUM(F17:F29)</f>
        <v>12564.08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43</v>
      </c>
      <c r="E32" s="11" t="s">
        <v>122</v>
      </c>
      <c r="F32" s="1">
        <v>5000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119</v>
      </c>
      <c r="D34" s="1" t="s">
        <v>120</v>
      </c>
      <c r="E34" s="13" t="s">
        <v>18</v>
      </c>
      <c r="F34" s="13">
        <f>F30-F32</f>
        <v>7564.08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  <c r="I42" s="41"/>
      <c r="J42" s="16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5"/>
      <c r="B50" s="17"/>
      <c r="E50" s="1"/>
      <c r="G50" s="15"/>
      <c r="H50" s="15"/>
    </row>
    <row r="51" spans="1:15" ht="32" x14ac:dyDescent="0.7">
      <c r="A51" s="15" t="s">
        <v>38</v>
      </c>
      <c r="B51" s="94" t="s">
        <v>244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 t="s">
        <v>16</v>
      </c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V55"/>
  <sheetViews>
    <sheetView topLeftCell="B21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17" style="1" customWidth="1"/>
    <col min="3" max="3" width="3.453125" style="1" customWidth="1"/>
    <col min="4" max="4" width="31.54296875" style="1" customWidth="1"/>
    <col min="5" max="5" width="6.54296875" style="38" customWidth="1"/>
    <col min="6" max="6" width="15.7265625" style="1" customWidth="1"/>
    <col min="7" max="8" width="9.1796875" style="1" customWidth="1"/>
    <col min="9" max="9" width="14.7265625" style="1" customWidth="1"/>
    <col min="10" max="11" width="9.1796875" style="1" hidden="1" customWidth="1"/>
    <col min="12" max="12" width="0.26953125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'hse1'!H4+16-1</f>
        <v>20242016</v>
      </c>
      <c r="M4" s="1">
        <f>'hse1'!H4+16-1</f>
        <v>20242016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meter!A18</f>
        <v>VACCANT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60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3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meter!D18</f>
        <v>190</v>
      </c>
      <c r="C16" s="8"/>
      <c r="D16" s="8">
        <f>meter!E18</f>
        <v>190</v>
      </c>
      <c r="E16" s="38" t="s">
        <v>19</v>
      </c>
      <c r="F16" s="9">
        <f>D16-B16</f>
        <v>0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20</v>
      </c>
      <c r="F18" s="11">
        <f>meter!O18</f>
        <v>677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meter!H18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meter!N18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f>'hse1'!E26</f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124</v>
      </c>
      <c r="E28" s="38" t="s">
        <v>18</v>
      </c>
      <c r="F28" s="11">
        <f>IF(F18*4%*1&lt;0,0,F18*4%*1)</f>
        <v>27.080000000000002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11964.08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meter!R18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11964.08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  <c r="J44" s="42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4" t="s">
        <v>245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V55"/>
  <sheetViews>
    <sheetView topLeftCell="B31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14.81640625" style="1" customWidth="1"/>
    <col min="3" max="3" width="0.26953125" style="1" customWidth="1"/>
    <col min="4" max="4" width="45.7265625" style="1" customWidth="1"/>
    <col min="5" max="5" width="13.1796875" style="38" customWidth="1"/>
    <col min="6" max="6" width="16.26953125" style="1" customWidth="1"/>
    <col min="7" max="7" width="1.26953125" style="1" customWidth="1"/>
    <col min="8" max="8" width="9.7265625" style="1" customWidth="1"/>
    <col min="9" max="9" width="15.54296875" style="1" customWidth="1"/>
    <col min="10" max="11" width="9.1796875" style="1" hidden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'hse1'!H4+17-1</f>
        <v>20242017</v>
      </c>
      <c r="J4" s="1">
        <f>'hse1'!H4+17-1</f>
        <v>20242017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meter!A19</f>
        <v>JOASH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61</v>
      </c>
      <c r="N8" s="1">
        <f t="shared" si="0"/>
        <v>9250</v>
      </c>
      <c r="O8" s="1">
        <v>9250</v>
      </c>
    </row>
    <row r="9" spans="2:15" x14ac:dyDescent="0.35">
      <c r="D9" s="93" t="s">
        <v>106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meter!D19</f>
        <v>484</v>
      </c>
      <c r="C16" s="8"/>
      <c r="D16" s="8">
        <f>meter!E19</f>
        <v>487</v>
      </c>
      <c r="E16" s="3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20</v>
      </c>
      <c r="F18" s="11">
        <f>meter!O19</f>
        <v>1000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1">
        <f>meter!H19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v>11000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125</v>
      </c>
      <c r="E28" s="38" t="s">
        <v>18</v>
      </c>
      <c r="F28" s="11">
        <f>IF(F18*8%*1&lt;0,0,F18*8%*1)</f>
        <v>80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13000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meter!R19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13000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4" t="s">
        <v>246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V55"/>
  <sheetViews>
    <sheetView topLeftCell="B46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2" style="1" customWidth="1"/>
    <col min="3" max="3" width="2.453125" style="1" customWidth="1"/>
    <col min="4" max="4" width="35.1796875" style="1" customWidth="1"/>
    <col min="5" max="5" width="13.1796875" style="38" customWidth="1"/>
    <col min="6" max="6" width="19.453125" style="1" customWidth="1"/>
    <col min="7" max="7" width="5" style="1" hidden="1" customWidth="1"/>
    <col min="8" max="8" width="9.1796875" style="1" customWidth="1"/>
    <col min="9" max="9" width="14.453125" style="1" customWidth="1"/>
    <col min="10" max="11" width="9.1796875" style="1" customWidth="1"/>
    <col min="12" max="12" width="0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'hse1'!H4+18-1</f>
        <v>20242018</v>
      </c>
      <c r="K4" s="1">
        <f>'hse1'!H4+18-1</f>
        <v>20242018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meter!A20</f>
        <v>MOSES NJUGUNA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85</v>
      </c>
      <c r="D8" s="1" t="s">
        <v>58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meter!D20</f>
        <v>210</v>
      </c>
      <c r="C16" s="8"/>
      <c r="D16" s="8">
        <f>meter!E20</f>
        <v>213</v>
      </c>
      <c r="E16" s="3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">
        <f>meter!O20</f>
        <v>1750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meter!H20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v>10000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103</v>
      </c>
      <c r="E28" s="1" t="s">
        <v>18</v>
      </c>
      <c r="F28" s="11">
        <f>IF(F18*4%*1&lt;0,0,F18*4%*1)</f>
        <v>70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13240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meter!R20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13240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  <c r="J44" s="42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4" t="s">
        <v>247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V58"/>
  <sheetViews>
    <sheetView topLeftCell="C12" zoomScale="60" workbookViewId="0">
      <selection activeCell="F26" sqref="F26"/>
    </sheetView>
  </sheetViews>
  <sheetFormatPr defaultColWidth="9" defaultRowHeight="14.5" x14ac:dyDescent="0.35"/>
  <cols>
    <col min="1" max="1" width="9.1796875" style="1" customWidth="1"/>
    <col min="2" max="2" width="23.1796875" style="1" customWidth="1"/>
    <col min="3" max="3" width="9.1796875" style="1" customWidth="1"/>
    <col min="4" max="4" width="19.81640625" style="1" customWidth="1"/>
    <col min="5" max="5" width="13.1796875" style="38" customWidth="1"/>
    <col min="6" max="6" width="25.81640625" style="1" customWidth="1"/>
    <col min="7" max="7" width="9.1796875" style="1" customWidth="1"/>
    <col min="8" max="8" width="13.81640625" style="1" customWidth="1"/>
    <col min="9" max="9" width="17.54296875" style="1" customWidth="1"/>
    <col min="10" max="10" width="0.26953125" style="1" customWidth="1"/>
    <col min="11" max="11" width="0.542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'hse1'!H4+19-1</f>
        <v>20242019</v>
      </c>
      <c r="I4" s="1">
        <f>'hse1'!H4+19-1</f>
        <v>20242019</v>
      </c>
      <c r="N4" s="1">
        <f t="shared" ref="N4:N38" si="0">O4-Q4</f>
        <v>10304</v>
      </c>
      <c r="O4" s="1">
        <v>10304</v>
      </c>
    </row>
    <row r="5" spans="2:15" x14ac:dyDescent="0.35">
      <c r="G5" s="1">
        <f>'hse1'!H4+19-1</f>
        <v>20242019</v>
      </c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meter!A21</f>
        <v>DAGLOUS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62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meter!D21</f>
        <v>55</v>
      </c>
      <c r="C16" s="8"/>
      <c r="D16" s="8">
        <f>meter!E21</f>
        <v>59</v>
      </c>
      <c r="E16" s="38" t="s">
        <v>19</v>
      </c>
      <c r="F16" s="9">
        <f>D16-B16+I16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1"/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meter!H21</f>
        <v>880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meter!N21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105</v>
      </c>
      <c r="E28" s="38" t="s">
        <v>18</v>
      </c>
      <c r="F28" s="11">
        <f>IF(F18*8%*1&lt;0,0,F18*8%*1)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11640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meter!R21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11640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8" x14ac:dyDescent="0.35">
      <c r="A49" s="15"/>
      <c r="B49" s="16" t="s">
        <v>13</v>
      </c>
      <c r="E49" s="1"/>
      <c r="O49" s="1" t="s">
        <v>185</v>
      </c>
    </row>
    <row r="50" spans="1:18" ht="32" x14ac:dyDescent="0.7">
      <c r="A50" s="1" t="s">
        <v>101</v>
      </c>
      <c r="B50" s="17"/>
      <c r="E50" s="1"/>
      <c r="G50" s="15"/>
      <c r="H50" s="15"/>
    </row>
    <row r="51" spans="1:18" ht="32" x14ac:dyDescent="0.7">
      <c r="A51" s="15"/>
      <c r="B51" s="94" t="s">
        <v>213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8" x14ac:dyDescent="0.35">
      <c r="A52" s="15"/>
      <c r="B52" s="15" t="s">
        <v>38</v>
      </c>
      <c r="C52" s="4"/>
      <c r="E52" s="1"/>
    </row>
    <row r="53" spans="1:18" x14ac:dyDescent="0.35">
      <c r="B53" s="15" t="s">
        <v>16</v>
      </c>
      <c r="C53" s="15"/>
      <c r="E53" s="1"/>
    </row>
    <row r="54" spans="1:18" x14ac:dyDescent="0.35">
      <c r="E54" s="1"/>
    </row>
    <row r="55" spans="1:18" x14ac:dyDescent="0.35">
      <c r="E55" s="1"/>
    </row>
    <row r="58" spans="1:18" x14ac:dyDescent="0.35">
      <c r="R58" s="1" t="s">
        <v>139</v>
      </c>
    </row>
  </sheetData>
  <mergeCells count="1">
    <mergeCell ref="B51:K51"/>
  </mergeCells>
  <pageMargins left="0.7" right="0.7" top="0.75" bottom="0.75" header="0.3" footer="0.3"/>
  <pageSetup paperSize="9" scale="7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V55"/>
  <sheetViews>
    <sheetView topLeftCell="A33" zoomScale="60" workbookViewId="0">
      <selection activeCell="B51" sqref="B51:K51"/>
    </sheetView>
  </sheetViews>
  <sheetFormatPr defaultColWidth="9" defaultRowHeight="14.5" x14ac:dyDescent="0.35"/>
  <cols>
    <col min="1" max="1" width="1.54296875" style="1" customWidth="1"/>
    <col min="2" max="2" width="20.54296875" style="1" customWidth="1"/>
    <col min="3" max="3" width="0.1796875" style="1" customWidth="1"/>
    <col min="4" max="4" width="19.81640625" style="1" customWidth="1"/>
    <col min="5" max="5" width="13.1796875" style="38" customWidth="1"/>
    <col min="6" max="6" width="15" style="1" customWidth="1"/>
    <col min="7" max="8" width="9.1796875" style="1" customWidth="1"/>
    <col min="9" max="9" width="9.26953125" style="1" hidden="1" customWidth="1"/>
    <col min="10" max="10" width="13.816406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'hse1'!H4+20-1</f>
        <v>20242020</v>
      </c>
      <c r="J4" s="1">
        <f>'hse1'!H4+20-1</f>
        <v>20242020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meter!A22</f>
        <v>OWEN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63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3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meter!D22</f>
        <v>265</v>
      </c>
      <c r="C16" s="8"/>
      <c r="D16" s="8">
        <f>meter!E22</f>
        <v>267</v>
      </c>
      <c r="E16" s="38" t="s">
        <v>19</v>
      </c>
      <c r="F16" s="9">
        <f>D16-B16</f>
        <v>2</v>
      </c>
      <c r="N16" s="1">
        <f t="shared" si="0"/>
        <v>9420</v>
      </c>
      <c r="O16" s="1">
        <v>9420</v>
      </c>
    </row>
    <row r="17" spans="2:15" x14ac:dyDescent="0.35"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meter!H22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v>8500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">
        <v>204</v>
      </c>
      <c r="E26" s="38" t="str">
        <f>'hse1'!D26</f>
        <v>Kshs.</v>
      </c>
      <c r="F26" s="1">
        <v>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79</v>
      </c>
      <c r="E28" s="1" t="s">
        <v>18</v>
      </c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9200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v>0</v>
      </c>
      <c r="N32" s="1">
        <f t="shared" si="0"/>
        <v>10750</v>
      </c>
      <c r="O32" s="1">
        <v>10750</v>
      </c>
    </row>
    <row r="33" spans="1:256" x14ac:dyDescent="0.35">
      <c r="E33" s="1"/>
      <c r="F33" s="11"/>
      <c r="N33" s="1">
        <f t="shared" si="0"/>
        <v>11732</v>
      </c>
      <c r="O33" s="1">
        <v>11732</v>
      </c>
    </row>
    <row r="34" spans="1:256" s="79" customFormat="1" x14ac:dyDescent="0.35">
      <c r="A34" s="76"/>
      <c r="B34" s="76"/>
      <c r="C34" s="76"/>
      <c r="D34" s="76" t="s">
        <v>120</v>
      </c>
      <c r="E34" s="76"/>
      <c r="F34" s="77">
        <f>F30-F32</f>
        <v>9200</v>
      </c>
      <c r="G34" s="76"/>
      <c r="H34" s="76"/>
      <c r="I34" s="76"/>
      <c r="J34" s="76"/>
      <c r="K34" s="76"/>
      <c r="L34" s="76"/>
      <c r="M34" s="76"/>
      <c r="N34" s="76">
        <f t="shared" si="0"/>
        <v>10934</v>
      </c>
      <c r="O34" s="76">
        <v>10934</v>
      </c>
      <c r="P34" s="76"/>
      <c r="Q34" s="76"/>
      <c r="R34" s="76">
        <v>700</v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spans="1:256" s="92" customFormat="1" ht="18.5" x14ac:dyDescent="0.45">
      <c r="A35" s="91"/>
      <c r="B35" s="91"/>
      <c r="C35" s="91" t="s">
        <v>12</v>
      </c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>
        <f t="shared" si="0"/>
        <v>10270</v>
      </c>
      <c r="O35" s="91">
        <v>10270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  <c r="EK35" s="91"/>
      <c r="EL35" s="91"/>
      <c r="EM35" s="91"/>
      <c r="EN35" s="91"/>
      <c r="EO35" s="91"/>
      <c r="EP35" s="91"/>
      <c r="EQ35" s="91"/>
      <c r="ER35" s="91"/>
      <c r="ES35" s="91"/>
      <c r="ET35" s="91"/>
      <c r="EU35" s="91"/>
      <c r="EV35" s="91"/>
      <c r="EW35" s="91"/>
      <c r="EX35" s="91"/>
      <c r="EY35" s="91"/>
      <c r="EZ35" s="91"/>
      <c r="FA35" s="91"/>
      <c r="FB35" s="91"/>
      <c r="FC35" s="91"/>
      <c r="FD35" s="91"/>
      <c r="FE35" s="91"/>
      <c r="FF35" s="91"/>
      <c r="FG35" s="91"/>
      <c r="FH35" s="91"/>
      <c r="FI35" s="91"/>
      <c r="FJ35" s="91"/>
      <c r="FK35" s="91"/>
      <c r="FL35" s="91"/>
      <c r="FM35" s="91"/>
      <c r="FN35" s="91"/>
      <c r="FO35" s="91"/>
      <c r="FP35" s="91"/>
      <c r="FQ35" s="91"/>
      <c r="FR35" s="91"/>
      <c r="FS35" s="91"/>
      <c r="FT35" s="91"/>
      <c r="FU35" s="91"/>
      <c r="FV35" s="91"/>
      <c r="FW35" s="91"/>
      <c r="FX35" s="91"/>
      <c r="FY35" s="91"/>
      <c r="FZ35" s="91"/>
      <c r="GA35" s="91"/>
      <c r="GB35" s="91"/>
      <c r="GC35" s="91"/>
      <c r="GD35" s="91"/>
      <c r="GE35" s="91"/>
      <c r="GF35" s="91"/>
      <c r="GG35" s="91"/>
      <c r="GH35" s="91"/>
      <c r="GI35" s="91"/>
      <c r="GJ35" s="91"/>
      <c r="GK35" s="91"/>
      <c r="GL35" s="91"/>
      <c r="GM35" s="91"/>
      <c r="GN35" s="91"/>
      <c r="GO35" s="91"/>
      <c r="GP35" s="91"/>
      <c r="GQ35" s="91"/>
      <c r="GR35" s="91"/>
      <c r="GS35" s="91"/>
      <c r="GT35" s="91"/>
      <c r="GU35" s="91"/>
      <c r="GV35" s="91"/>
      <c r="GW35" s="91"/>
      <c r="GX35" s="91"/>
      <c r="GY35" s="91"/>
      <c r="GZ35" s="91"/>
      <c r="HA35" s="91"/>
      <c r="HB35" s="91"/>
      <c r="HC35" s="91"/>
      <c r="HD35" s="91"/>
      <c r="HE35" s="91"/>
      <c r="HF35" s="91"/>
      <c r="HG35" s="91"/>
      <c r="HH35" s="91"/>
      <c r="HI35" s="91"/>
      <c r="HJ35" s="91"/>
      <c r="HK35" s="91"/>
      <c r="HL35" s="91"/>
      <c r="HM35" s="91"/>
      <c r="HN35" s="91"/>
      <c r="HO35" s="91"/>
      <c r="HP35" s="91"/>
      <c r="HQ35" s="91"/>
      <c r="HR35" s="91"/>
      <c r="HS35" s="91"/>
      <c r="HT35" s="91"/>
      <c r="HU35" s="91"/>
      <c r="HV35" s="91"/>
      <c r="HW35" s="91"/>
      <c r="HX35" s="91"/>
      <c r="HY35" s="91"/>
      <c r="HZ35" s="91"/>
      <c r="IA35" s="91"/>
      <c r="IB35" s="91"/>
      <c r="IC35" s="91"/>
      <c r="ID35" s="91"/>
      <c r="IE35" s="91"/>
      <c r="IF35" s="91"/>
      <c r="IG35" s="91"/>
      <c r="IH35" s="91"/>
      <c r="II35" s="91"/>
      <c r="IJ35" s="91"/>
      <c r="IK35" s="91"/>
      <c r="IL35" s="91"/>
      <c r="IM35" s="91"/>
      <c r="IN35" s="91"/>
      <c r="IO35" s="91"/>
      <c r="IP35" s="91"/>
      <c r="IQ35" s="91"/>
      <c r="IR35" s="91"/>
      <c r="IS35" s="91"/>
      <c r="IT35" s="91"/>
      <c r="IU35" s="91"/>
      <c r="IV35" s="91"/>
    </row>
    <row r="36" spans="1:256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256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256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256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256" hidden="1" x14ac:dyDescent="0.35">
      <c r="B40" s="15"/>
      <c r="E40" s="1"/>
    </row>
    <row r="41" spans="1:256" x14ac:dyDescent="0.35">
      <c r="A41" s="1" t="s">
        <v>98</v>
      </c>
      <c r="B41" s="15" t="s">
        <v>81</v>
      </c>
      <c r="E41" s="1"/>
    </row>
    <row r="42" spans="1:256" x14ac:dyDescent="0.35">
      <c r="A42" s="1" t="s">
        <v>99</v>
      </c>
      <c r="B42" s="15" t="s">
        <v>102</v>
      </c>
      <c r="E42" s="1"/>
    </row>
    <row r="43" spans="1:256" x14ac:dyDescent="0.35">
      <c r="A43" s="1" t="s">
        <v>100</v>
      </c>
      <c r="B43" s="4" t="s">
        <v>140</v>
      </c>
      <c r="E43" s="1"/>
    </row>
    <row r="44" spans="1:256" x14ac:dyDescent="0.35">
      <c r="B44" s="4" t="s">
        <v>80</v>
      </c>
      <c r="E44" s="1"/>
      <c r="I44" s="16"/>
    </row>
    <row r="45" spans="1:256" x14ac:dyDescent="0.35">
      <c r="A45" s="16"/>
      <c r="B45" s="4" t="s">
        <v>14</v>
      </c>
      <c r="E45" s="1"/>
      <c r="G45" s="16"/>
      <c r="H45" s="16"/>
    </row>
    <row r="46" spans="1:256" x14ac:dyDescent="0.35">
      <c r="B46" s="4" t="s">
        <v>15</v>
      </c>
      <c r="E46" s="1"/>
    </row>
    <row r="47" spans="1:256" ht="32" x14ac:dyDescent="0.7">
      <c r="B47" s="17" t="s">
        <v>199</v>
      </c>
      <c r="C47" s="18"/>
      <c r="D47" s="18"/>
      <c r="E47" s="18"/>
    </row>
    <row r="48" spans="1:256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4" t="s">
        <v>248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V55"/>
  <sheetViews>
    <sheetView topLeftCell="A23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3.1796875" style="1" customWidth="1"/>
    <col min="3" max="3" width="2.26953125" style="1" customWidth="1"/>
    <col min="4" max="4" width="31.26953125" style="1" customWidth="1"/>
    <col min="5" max="5" width="13.1796875" style="38" customWidth="1"/>
    <col min="6" max="6" width="12.1796875" style="1" customWidth="1"/>
    <col min="7" max="7" width="9.1796875" style="1" customWidth="1"/>
    <col min="8" max="8" width="9.54296875" style="1" customWidth="1"/>
    <col min="9" max="9" width="14.54296875" style="1" customWidth="1"/>
    <col min="10" max="10" width="0.7265625" style="1" customWidth="1"/>
    <col min="11" max="11" width="9.1796875" style="1" hidden="1" customWidth="1"/>
    <col min="12" max="12" width="27" style="1" customWidth="1"/>
    <col min="13" max="15" width="9.54296875" style="1" customWidth="1"/>
    <col min="16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'hse1'!H4+21-1</f>
        <v>20242021</v>
      </c>
      <c r="L4" s="1">
        <f>'hse1'!H4+21-1</f>
        <v>20242021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meter!A23</f>
        <v>MAGRET</v>
      </c>
      <c r="N6" s="1">
        <f t="shared" si="0"/>
        <v>11070</v>
      </c>
      <c r="O6" s="1">
        <v>11070</v>
      </c>
    </row>
    <row r="7" spans="2:15" x14ac:dyDescent="0.35">
      <c r="D7" s="22"/>
      <c r="N7" s="1">
        <f t="shared" si="0"/>
        <v>1197</v>
      </c>
      <c r="O7" s="1">
        <v>1197</v>
      </c>
    </row>
    <row r="8" spans="2:15" x14ac:dyDescent="0.35">
      <c r="B8" s="1" t="s">
        <v>85</v>
      </c>
      <c r="D8" s="1" t="s">
        <v>64</v>
      </c>
      <c r="N8" s="1">
        <f t="shared" si="0"/>
        <v>9250</v>
      </c>
      <c r="O8" s="1">
        <v>9250</v>
      </c>
    </row>
    <row r="9" spans="2:15" x14ac:dyDescent="0.35">
      <c r="D9" s="22" t="s">
        <v>109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meter!D23</f>
        <v>176</v>
      </c>
      <c r="C16" s="8"/>
      <c r="D16" s="8">
        <f>meter!E23</f>
        <v>180</v>
      </c>
      <c r="E16" s="38" t="s">
        <v>19</v>
      </c>
      <c r="F16" s="9">
        <f>D16-B16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">
        <f>meter!O23</f>
        <v>0</v>
      </c>
      <c r="H18" s="11"/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meter!H23</f>
        <v>880</v>
      </c>
      <c r="N20" s="1">
        <f t="shared" si="0"/>
        <v>10590</v>
      </c>
      <c r="O20" s="1">
        <v>10590</v>
      </c>
    </row>
    <row r="21" spans="2:15" x14ac:dyDescent="0.35">
      <c r="L21" s="43"/>
      <c r="M21" s="44"/>
      <c r="N21" s="1">
        <f t="shared" si="0"/>
        <v>22423</v>
      </c>
      <c r="O21" s="44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L23" s="44"/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meter!N23</f>
        <v>9000</v>
      </c>
      <c r="L24" s="13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f>meter!M23</f>
        <v>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52</v>
      </c>
      <c r="E28" s="38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10140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meter!R23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10140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4" t="s">
        <v>249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V55"/>
  <sheetViews>
    <sheetView topLeftCell="D7" zoomScale="60" workbookViewId="0">
      <selection activeCell="E39" sqref="E39"/>
    </sheetView>
  </sheetViews>
  <sheetFormatPr defaultColWidth="9" defaultRowHeight="14.5" x14ac:dyDescent="0.35"/>
  <cols>
    <col min="1" max="1" width="5.54296875" style="1" customWidth="1"/>
    <col min="2" max="2" width="17" style="1" customWidth="1"/>
    <col min="3" max="3" width="0.1796875" style="1" customWidth="1"/>
    <col min="4" max="4" width="33.453125" style="1" customWidth="1"/>
    <col min="5" max="5" width="13.1796875" style="38" customWidth="1"/>
    <col min="6" max="6" width="15.1796875" style="1" customWidth="1"/>
    <col min="7" max="8" width="9.1796875" style="1" customWidth="1"/>
    <col min="9" max="9" width="9.26953125" style="1" hidden="1" customWidth="1"/>
    <col min="10" max="10" width="12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144</v>
      </c>
      <c r="N2" s="1" t="s">
        <v>160</v>
      </c>
      <c r="O2" s="1" t="s">
        <v>159</v>
      </c>
    </row>
    <row r="3" spans="2:15" x14ac:dyDescent="0.35">
      <c r="B3" s="1" t="str">
        <f>'hse1'!B3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'hse1'!H4+22-1</f>
        <v>20242022</v>
      </c>
      <c r="J4" s="1">
        <f>'hse1'!H4+22-1</f>
        <v>20242022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meter!A24</f>
        <v>FATUMA ZAWADI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65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meter!D24</f>
        <v>290</v>
      </c>
      <c r="C16" s="8"/>
      <c r="D16" s="8">
        <f>meter!E24</f>
        <v>292</v>
      </c>
      <c r="E16" s="38" t="s">
        <v>19</v>
      </c>
      <c r="F16" s="9">
        <f>D16-B16</f>
        <v>2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">
        <f>meter!O24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meter!H24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meter!N24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112</v>
      </c>
      <c r="E28" s="38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11200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meter!R24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11200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ht="25.5" customHeight="1" x14ac:dyDescent="0.65">
      <c r="A39" s="1" t="s">
        <v>97</v>
      </c>
      <c r="B39" s="15"/>
      <c r="D39" s="86" t="s">
        <v>199</v>
      </c>
      <c r="E39" s="86" t="s">
        <v>250</v>
      </c>
      <c r="O39" s="1">
        <f>SUM(O3:O38)</f>
        <v>391268</v>
      </c>
      <c r="Q39" s="1">
        <f>SUM(Q3:Q38)</f>
        <v>0</v>
      </c>
    </row>
    <row r="40" spans="1:18" ht="9" customHeight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9" spans="1:15" x14ac:dyDescent="0.35">
      <c r="A49" s="15"/>
      <c r="O49" s="1" t="s">
        <v>185</v>
      </c>
    </row>
    <row r="50" spans="1:15" x14ac:dyDescent="0.35">
      <c r="A50" s="1" t="s">
        <v>101</v>
      </c>
    </row>
    <row r="51" spans="1:15" x14ac:dyDescent="0.35">
      <c r="A51" s="15"/>
    </row>
    <row r="52" spans="1:15" x14ac:dyDescent="0.35">
      <c r="A52" s="15"/>
    </row>
    <row r="54" spans="1:15" x14ac:dyDescent="0.35">
      <c r="E54" s="1"/>
    </row>
    <row r="55" spans="1:15" x14ac:dyDescent="0.35">
      <c r="E55" s="1"/>
    </row>
  </sheetData>
  <pageMargins left="0.7" right="0.7" top="0.75" bottom="0.75" header="0.3" footer="0.3"/>
  <pageSetup paperSize="9" scale="7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V55"/>
  <sheetViews>
    <sheetView topLeftCell="C26" zoomScale="60" workbookViewId="0">
      <selection activeCell="C51" sqref="C51:L51"/>
    </sheetView>
  </sheetViews>
  <sheetFormatPr defaultColWidth="9" defaultRowHeight="14.5" x14ac:dyDescent="0.35"/>
  <cols>
    <col min="1" max="1" width="9.1796875" style="1" customWidth="1"/>
    <col min="2" max="2" width="24.54296875" style="1" hidden="1"/>
    <col min="3" max="3" width="9.1796875" style="1" customWidth="1"/>
    <col min="4" max="4" width="32.7265625" style="1" customWidth="1"/>
    <col min="5" max="5" width="14.453125" style="38" customWidth="1"/>
    <col min="6" max="6" width="12" style="1" customWidth="1"/>
    <col min="7" max="7" width="0.1796875" style="1" customWidth="1"/>
    <col min="8" max="8" width="8.81640625" style="1" customWidth="1"/>
    <col min="9" max="9" width="9.26953125" style="1" hidden="1" customWidth="1"/>
    <col min="10" max="10" width="0.26953125" style="1" customWidth="1"/>
    <col min="11" max="11" width="15.54296875" style="1" customWidth="1"/>
    <col min="12" max="12" width="8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1:15" ht="23.5" x14ac:dyDescent="0.55000000000000004">
      <c r="B1" s="2" t="s">
        <v>144</v>
      </c>
    </row>
    <row r="2" spans="1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1:15" ht="18.5" x14ac:dyDescent="0.45">
      <c r="B3" s="3" t="s">
        <v>0</v>
      </c>
      <c r="N3" s="1">
        <f>O3-Q3</f>
        <v>10270</v>
      </c>
      <c r="O3" s="1">
        <v>10270</v>
      </c>
    </row>
    <row r="4" spans="1:15" x14ac:dyDescent="0.35">
      <c r="H4" s="1" t="s">
        <v>6</v>
      </c>
      <c r="I4" s="1">
        <f>'hse1'!H4+23-1</f>
        <v>20242023</v>
      </c>
      <c r="K4" s="1">
        <f>'hse1'!H4+23-1</f>
        <v>20242023</v>
      </c>
      <c r="N4" s="1">
        <f t="shared" ref="N4:N38" si="0">O4-Q4</f>
        <v>10304</v>
      </c>
      <c r="O4" s="1">
        <v>10304</v>
      </c>
    </row>
    <row r="5" spans="1:15" x14ac:dyDescent="0.35">
      <c r="N5" s="1">
        <f t="shared" si="0"/>
        <v>10988</v>
      </c>
      <c r="O5" s="1">
        <v>10988</v>
      </c>
    </row>
    <row r="6" spans="1:15" x14ac:dyDescent="0.35">
      <c r="B6" s="1" t="s">
        <v>7</v>
      </c>
      <c r="D6" s="4" t="str">
        <f>meter!A25</f>
        <v>KAMAU</v>
      </c>
      <c r="N6" s="1">
        <f t="shared" si="0"/>
        <v>11070</v>
      </c>
      <c r="O6" s="1">
        <v>11070</v>
      </c>
    </row>
    <row r="7" spans="1:15" x14ac:dyDescent="0.35">
      <c r="N7" s="1">
        <f t="shared" si="0"/>
        <v>1197</v>
      </c>
      <c r="O7" s="1">
        <v>1197</v>
      </c>
    </row>
    <row r="8" spans="1:15" x14ac:dyDescent="0.35">
      <c r="B8" s="1" t="s">
        <v>85</v>
      </c>
      <c r="D8" s="1" t="s">
        <v>66</v>
      </c>
      <c r="N8" s="1">
        <f t="shared" si="0"/>
        <v>9250</v>
      </c>
      <c r="O8" s="1">
        <v>9250</v>
      </c>
    </row>
    <row r="9" spans="1:15" x14ac:dyDescent="0.35">
      <c r="N9" s="1">
        <f t="shared" si="0"/>
        <v>8770</v>
      </c>
      <c r="O9" s="1">
        <v>8770</v>
      </c>
    </row>
    <row r="10" spans="1:15" x14ac:dyDescent="0.35">
      <c r="A10" s="74" t="s">
        <v>211</v>
      </c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1:15" x14ac:dyDescent="0.35">
      <c r="N11" s="1">
        <f t="shared" si="0"/>
        <v>10910</v>
      </c>
      <c r="O11" s="1">
        <v>10910</v>
      </c>
    </row>
    <row r="12" spans="1:15" x14ac:dyDescent="0.35">
      <c r="A12" s="74" t="s">
        <v>210</v>
      </c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1:15" x14ac:dyDescent="0.35">
      <c r="C13" s="1" t="s">
        <v>54</v>
      </c>
      <c r="N13" s="1">
        <f t="shared" si="0"/>
        <v>12190</v>
      </c>
      <c r="O13" s="1">
        <v>12190</v>
      </c>
    </row>
    <row r="14" spans="1:15" x14ac:dyDescent="0.35">
      <c r="N14" s="1">
        <f t="shared" si="0"/>
        <v>11070</v>
      </c>
      <c r="O14" s="1">
        <v>11070</v>
      </c>
    </row>
    <row r="15" spans="1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1:15" x14ac:dyDescent="0.35">
      <c r="B16" s="8">
        <f>meter!D25</f>
        <v>670</v>
      </c>
      <c r="C16" s="8"/>
      <c r="D16" s="8">
        <f>meter!E25</f>
        <v>673</v>
      </c>
      <c r="E16" s="3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">
        <f>meter!O25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meter!H25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meter!N25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f>'hse1'!E26</f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K27" s="74" t="s">
        <v>54</v>
      </c>
      <c r="N27" s="1">
        <f t="shared" si="0"/>
        <v>11393</v>
      </c>
      <c r="O27" s="1">
        <v>11393</v>
      </c>
    </row>
    <row r="28" spans="2:15" x14ac:dyDescent="0.35">
      <c r="D28" s="1" t="s">
        <v>150</v>
      </c>
      <c r="E28" s="38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11920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meter!R25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11920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5" t="s">
        <v>82</v>
      </c>
      <c r="C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C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C38" s="15"/>
      <c r="E38" s="1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C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C40" s="15"/>
      <c r="E40" s="1"/>
    </row>
    <row r="41" spans="1:18" x14ac:dyDescent="0.35">
      <c r="A41" s="1" t="s">
        <v>98</v>
      </c>
      <c r="B41" s="15" t="s">
        <v>81</v>
      </c>
      <c r="C41" s="15" t="s">
        <v>81</v>
      </c>
      <c r="E41" s="1"/>
    </row>
    <row r="42" spans="1:18" x14ac:dyDescent="0.35">
      <c r="A42" s="1" t="s">
        <v>99</v>
      </c>
      <c r="B42" s="15" t="s">
        <v>102</v>
      </c>
      <c r="C42" s="15" t="s">
        <v>102</v>
      </c>
      <c r="E42" s="1"/>
    </row>
    <row r="43" spans="1:18" x14ac:dyDescent="0.35">
      <c r="A43" s="1" t="s">
        <v>100</v>
      </c>
      <c r="B43" s="4" t="s">
        <v>140</v>
      </c>
      <c r="C43" s="4" t="s">
        <v>140</v>
      </c>
      <c r="E43" s="1"/>
    </row>
    <row r="44" spans="1:18" x14ac:dyDescent="0.35">
      <c r="B44" s="4" t="s">
        <v>80</v>
      </c>
      <c r="C44" s="4" t="s">
        <v>80</v>
      </c>
      <c r="E44" s="1"/>
      <c r="J44" s="41"/>
    </row>
    <row r="45" spans="1:18" x14ac:dyDescent="0.35">
      <c r="A45" s="16"/>
      <c r="B45" s="4" t="s">
        <v>14</v>
      </c>
      <c r="C45" s="4" t="s">
        <v>14</v>
      </c>
      <c r="E45" s="1"/>
      <c r="H45" s="16"/>
      <c r="I45" s="16"/>
    </row>
    <row r="46" spans="1:18" x14ac:dyDescent="0.35">
      <c r="B46" s="4" t="s">
        <v>15</v>
      </c>
      <c r="C46" s="4" t="s">
        <v>15</v>
      </c>
      <c r="E46" s="1"/>
    </row>
    <row r="47" spans="1:18" ht="32" x14ac:dyDescent="0.7">
      <c r="B47" s="4" t="s">
        <v>57</v>
      </c>
      <c r="C47" s="17" t="s">
        <v>201</v>
      </c>
      <c r="D47" s="18"/>
      <c r="E47" s="18"/>
      <c r="F47" s="18"/>
    </row>
    <row r="48" spans="1:18" x14ac:dyDescent="0.35">
      <c r="B48" s="16" t="s">
        <v>84</v>
      </c>
      <c r="C48" s="16" t="s">
        <v>84</v>
      </c>
      <c r="D48" s="16"/>
      <c r="E48" s="16"/>
      <c r="F48" s="16"/>
      <c r="G48" s="16"/>
    </row>
    <row r="49" spans="1:15" x14ac:dyDescent="0.35">
      <c r="A49" s="15"/>
      <c r="B49" s="16" t="s">
        <v>13</v>
      </c>
      <c r="C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4" t="s">
        <v>163</v>
      </c>
      <c r="C50" s="17"/>
      <c r="E50" s="1"/>
      <c r="H50" s="15"/>
      <c r="I50" s="15"/>
    </row>
    <row r="51" spans="1:15" ht="32" x14ac:dyDescent="0.7">
      <c r="A51" s="15"/>
      <c r="B51" s="15" t="s">
        <v>38</v>
      </c>
      <c r="C51" s="97" t="s">
        <v>251</v>
      </c>
      <c r="D51" s="95"/>
      <c r="E51" s="95"/>
      <c r="F51" s="95"/>
      <c r="G51" s="95"/>
      <c r="H51" s="95"/>
      <c r="I51" s="95"/>
      <c r="J51" s="95"/>
      <c r="K51" s="95"/>
      <c r="L51" s="96"/>
    </row>
    <row r="52" spans="1:15" x14ac:dyDescent="0.35">
      <c r="A52" s="15"/>
      <c r="B52" s="15" t="s">
        <v>16</v>
      </c>
      <c r="C52" s="15" t="s">
        <v>38</v>
      </c>
      <c r="D52" s="4"/>
      <c r="E52" s="1"/>
    </row>
    <row r="53" spans="1:15" x14ac:dyDescent="0.35">
      <c r="C53" s="15" t="s">
        <v>16</v>
      </c>
      <c r="D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C51:L51"/>
  </mergeCells>
  <pageMargins left="0.7" right="0.7" top="0.75" bottom="0.75" header="0.3" footer="0.3"/>
  <pageSetup paperSize="9" scale="68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V55"/>
  <sheetViews>
    <sheetView topLeftCell="B31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17.54296875" style="1" customWidth="1"/>
    <col min="3" max="3" width="9.1796875" style="1" customWidth="1"/>
    <col min="4" max="4" width="19.81640625" style="1" customWidth="1"/>
    <col min="5" max="5" width="13.1796875" style="38" customWidth="1"/>
    <col min="6" max="6" width="15.54296875" style="1" customWidth="1"/>
    <col min="7" max="8" width="9.1796875" style="1" customWidth="1"/>
    <col min="9" max="9" width="12.7265625" style="1" customWidth="1"/>
    <col min="10" max="10" width="9.1796875" style="1" customWidth="1"/>
    <col min="11" max="11" width="8.7265625" style="1" customWidth="1"/>
    <col min="12" max="12" width="27" style="1" customWidth="1"/>
    <col min="13" max="15" width="9.1796875" style="1" customWidth="1"/>
    <col min="16" max="16" width="0.1796875" style="1" customWidth="1"/>
    <col min="17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'hse1'!H4+24-1</f>
        <v>20242024</v>
      </c>
      <c r="M4" s="1">
        <f>'hse1'!H4+24-1</f>
        <v>20242024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meter!A26</f>
        <v>NEW TENANT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67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meter!D26</f>
        <v>92</v>
      </c>
      <c r="C16" s="8"/>
      <c r="D16" s="8">
        <f>meter!E26</f>
        <v>94</v>
      </c>
      <c r="E16" s="38" t="s">
        <v>19</v>
      </c>
      <c r="F16" s="9">
        <f>D16-B16</f>
        <v>2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1">
        <f>meter!O26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meter!H26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meter!N26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52</v>
      </c>
      <c r="E28" s="1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11700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meter!R26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11700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  <c r="J44" s="42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7" t="s">
        <v>252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V55"/>
  <sheetViews>
    <sheetView topLeftCell="A36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4" style="1" customWidth="1"/>
    <col min="3" max="3" width="0.54296875" style="1" customWidth="1"/>
    <col min="4" max="4" width="29.54296875" style="1" customWidth="1"/>
    <col min="5" max="5" width="13.1796875" style="38" customWidth="1"/>
    <col min="6" max="6" width="15.54296875" style="1" customWidth="1"/>
    <col min="7" max="7" width="0.81640625" style="1" customWidth="1"/>
    <col min="8" max="8" width="9.1796875" style="1" customWidth="1"/>
    <col min="9" max="9" width="13.54296875" style="1" customWidth="1"/>
    <col min="10" max="10" width="0.1796875" style="1" customWidth="1"/>
    <col min="11" max="11" width="9.1796875" style="1" customWidth="1"/>
    <col min="12" max="12" width="0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'hse1'!H4+25-1</f>
        <v>20242025</v>
      </c>
      <c r="K4" s="1">
        <f>'hse1'!H4+25-1</f>
        <v>20242025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">
        <v>186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85</v>
      </c>
      <c r="D8" s="1" t="s">
        <v>68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meter!D27</f>
        <v>698</v>
      </c>
      <c r="C16" s="8">
        <v>643</v>
      </c>
      <c r="D16" s="8">
        <f>meter!E27</f>
        <v>701</v>
      </c>
      <c r="E16" s="3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">
        <f>meter!O27</f>
        <v>1355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meter!H27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meter!N27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52</v>
      </c>
      <c r="E28" s="38" t="s">
        <v>18</v>
      </c>
      <c r="F28" s="11">
        <f>IF(F18*4%*1&lt;0,0,F18*4%*1)</f>
        <v>54.2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13329.2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13329.2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7" t="s">
        <v>253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V55"/>
  <sheetViews>
    <sheetView topLeftCell="A30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1.54296875" style="1" customWidth="1"/>
    <col min="3" max="3" width="0.54296875" style="1" customWidth="1"/>
    <col min="4" max="4" width="36" style="1" customWidth="1"/>
    <col min="5" max="5" width="13.1796875" style="38" customWidth="1"/>
    <col min="6" max="6" width="15" style="1" customWidth="1"/>
    <col min="7" max="7" width="0.1796875" style="1" customWidth="1"/>
    <col min="8" max="8" width="39.54296875" style="1" customWidth="1"/>
    <col min="9" max="9" width="13" style="1" customWidth="1"/>
    <col min="10" max="10" width="9.1796875" style="1" hidden="1" customWidth="1"/>
    <col min="11" max="11" width="0.1796875" style="1" customWidth="1"/>
    <col min="12" max="12" width="11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8" ht="23.5" x14ac:dyDescent="0.55000000000000004">
      <c r="B1" s="2" t="s">
        <v>144</v>
      </c>
    </row>
    <row r="2" spans="2:18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8" ht="18.5" x14ac:dyDescent="0.45">
      <c r="B3" s="3" t="s">
        <v>0</v>
      </c>
      <c r="N3" s="1">
        <f>O3-Q3</f>
        <v>10270</v>
      </c>
      <c r="O3" s="1">
        <v>10270</v>
      </c>
    </row>
    <row r="4" spans="2:18" x14ac:dyDescent="0.35">
      <c r="H4" s="1" t="s">
        <v>6</v>
      </c>
      <c r="I4" s="1">
        <f>'hse1'!H4+26-1</f>
        <v>20242026</v>
      </c>
      <c r="L4" s="1">
        <f>'hse1'!H4+26-1</f>
        <v>20242026</v>
      </c>
      <c r="N4" s="1">
        <f t="shared" ref="N4:N38" si="0">O4-Q4</f>
        <v>10304</v>
      </c>
      <c r="O4" s="1">
        <v>10304</v>
      </c>
    </row>
    <row r="5" spans="2:18" x14ac:dyDescent="0.35">
      <c r="N5" s="1">
        <f t="shared" si="0"/>
        <v>10988</v>
      </c>
      <c r="O5" s="1">
        <v>10988</v>
      </c>
    </row>
    <row r="6" spans="2:18" x14ac:dyDescent="0.35">
      <c r="B6" s="1" t="s">
        <v>7</v>
      </c>
      <c r="D6" s="4" t="str">
        <f>meter!A28</f>
        <v>JOEL MAINA NDUNGU</v>
      </c>
      <c r="N6" s="1">
        <f t="shared" si="0"/>
        <v>11070</v>
      </c>
      <c r="O6" s="1">
        <v>11070</v>
      </c>
    </row>
    <row r="7" spans="2:18" x14ac:dyDescent="0.35">
      <c r="N7" s="1">
        <f t="shared" si="0"/>
        <v>1197</v>
      </c>
      <c r="O7" s="1">
        <v>1197</v>
      </c>
    </row>
    <row r="8" spans="2:18" x14ac:dyDescent="0.35">
      <c r="B8" s="1" t="s">
        <v>86</v>
      </c>
      <c r="D8" s="1" t="s">
        <v>69</v>
      </c>
      <c r="N8" s="1">
        <f t="shared" si="0"/>
        <v>9250</v>
      </c>
      <c r="O8" s="1">
        <v>9250</v>
      </c>
    </row>
    <row r="9" spans="2:18" x14ac:dyDescent="0.35">
      <c r="N9" s="1">
        <f t="shared" si="0"/>
        <v>8770</v>
      </c>
      <c r="O9" s="1">
        <v>8770</v>
      </c>
    </row>
    <row r="10" spans="2:18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  <c r="R10" s="1">
        <v>10500</v>
      </c>
    </row>
    <row r="11" spans="2:18" x14ac:dyDescent="0.35">
      <c r="N11" s="1">
        <f t="shared" si="0"/>
        <v>10910</v>
      </c>
      <c r="O11" s="1">
        <v>10910</v>
      </c>
      <c r="R11" s="1">
        <v>4200</v>
      </c>
    </row>
    <row r="12" spans="2:18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  <c r="R12" s="1">
        <f>R10-R11</f>
        <v>6300</v>
      </c>
    </row>
    <row r="13" spans="2:18" x14ac:dyDescent="0.35">
      <c r="C13" s="1" t="s">
        <v>54</v>
      </c>
      <c r="N13" s="1">
        <f t="shared" si="0"/>
        <v>12190</v>
      </c>
      <c r="O13" s="1">
        <v>12190</v>
      </c>
    </row>
    <row r="14" spans="2:18" x14ac:dyDescent="0.35">
      <c r="N14" s="1">
        <f t="shared" si="0"/>
        <v>11070</v>
      </c>
      <c r="O14" s="1">
        <v>11070</v>
      </c>
    </row>
    <row r="15" spans="2:18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8" x14ac:dyDescent="0.35">
      <c r="B16" s="8">
        <f>meter!D28</f>
        <v>1377</v>
      </c>
      <c r="C16" s="8"/>
      <c r="D16" s="8">
        <f>meter!E28</f>
        <v>1381</v>
      </c>
      <c r="E16" s="38" t="s">
        <v>19</v>
      </c>
      <c r="F16" s="9">
        <f>D16-B16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1">
        <f>meter!O28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meter!H28</f>
        <v>880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meter!N28</f>
        <v>10000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F26" s="1">
        <f>'hse1'!E26</f>
        <v>500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115</v>
      </c>
      <c r="E28" s="1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11640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v>0</v>
      </c>
      <c r="N32" s="1">
        <f t="shared" si="0"/>
        <v>10750</v>
      </c>
      <c r="O32" s="1">
        <v>10750</v>
      </c>
    </row>
    <row r="33" spans="1:256" x14ac:dyDescent="0.35">
      <c r="E33" s="1"/>
      <c r="F33" s="11"/>
      <c r="N33" s="1">
        <f t="shared" si="0"/>
        <v>11732</v>
      </c>
      <c r="O33" s="1">
        <v>11732</v>
      </c>
    </row>
    <row r="34" spans="1:256" s="79" customFormat="1" ht="65.150000000000006" customHeight="1" x14ac:dyDescent="0.5">
      <c r="A34" s="76"/>
      <c r="B34" s="76"/>
      <c r="C34" s="76"/>
      <c r="D34" s="76" t="s">
        <v>120</v>
      </c>
      <c r="E34" s="76"/>
      <c r="F34" s="77">
        <f>F30-F32</f>
        <v>11640</v>
      </c>
      <c r="G34" s="76"/>
      <c r="H34" s="84">
        <f>F34</f>
        <v>11640</v>
      </c>
      <c r="I34" s="76"/>
      <c r="J34" s="76"/>
      <c r="K34" s="76"/>
      <c r="L34" s="76"/>
      <c r="M34" s="76"/>
      <c r="N34" s="76">
        <f t="shared" si="0"/>
        <v>10934</v>
      </c>
      <c r="O34" s="76">
        <v>10934</v>
      </c>
      <c r="P34" s="76"/>
      <c r="Q34" s="76"/>
      <c r="R34" s="76">
        <v>700</v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spans="1:256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256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256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256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256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256" hidden="1" x14ac:dyDescent="0.35">
      <c r="B40" s="15"/>
      <c r="E40" s="1"/>
    </row>
    <row r="41" spans="1:256" x14ac:dyDescent="0.35">
      <c r="A41" s="1" t="s">
        <v>98</v>
      </c>
      <c r="B41" s="15" t="s">
        <v>81</v>
      </c>
      <c r="E41" s="1"/>
    </row>
    <row r="42" spans="1:256" x14ac:dyDescent="0.35">
      <c r="A42" s="1" t="s">
        <v>99</v>
      </c>
      <c r="B42" s="15" t="s">
        <v>102</v>
      </c>
      <c r="E42" s="1"/>
    </row>
    <row r="43" spans="1:256" x14ac:dyDescent="0.35">
      <c r="A43" s="1" t="s">
        <v>100</v>
      </c>
      <c r="B43" s="4" t="s">
        <v>140</v>
      </c>
      <c r="E43" s="1"/>
    </row>
    <row r="44" spans="1:256" x14ac:dyDescent="0.35">
      <c r="B44" s="4" t="s">
        <v>80</v>
      </c>
      <c r="E44" s="1"/>
      <c r="I44" s="41"/>
      <c r="J44" s="42"/>
    </row>
    <row r="45" spans="1:256" x14ac:dyDescent="0.35">
      <c r="A45" s="16"/>
      <c r="B45" s="4" t="s">
        <v>14</v>
      </c>
      <c r="E45" s="1"/>
      <c r="G45" s="16"/>
      <c r="H45" s="16"/>
    </row>
    <row r="46" spans="1:256" x14ac:dyDescent="0.35">
      <c r="B46" s="4" t="s">
        <v>15</v>
      </c>
      <c r="E46" s="1"/>
    </row>
    <row r="47" spans="1:256" ht="32" x14ac:dyDescent="0.7">
      <c r="B47" s="17" t="s">
        <v>199</v>
      </c>
      <c r="C47" s="18"/>
      <c r="D47" s="18"/>
      <c r="E47" s="18"/>
    </row>
    <row r="48" spans="1:256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7" t="s">
        <v>254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W55"/>
  <sheetViews>
    <sheetView topLeftCell="A51" zoomScale="60" workbookViewId="0">
      <selection activeCell="F64" sqref="F64"/>
    </sheetView>
  </sheetViews>
  <sheetFormatPr defaultColWidth="9" defaultRowHeight="14.5" x14ac:dyDescent="0.35"/>
  <cols>
    <col min="1" max="1" width="9.1796875" style="1" customWidth="1"/>
    <col min="2" max="2" width="23.453125" style="1" customWidth="1"/>
    <col min="3" max="3" width="0.1796875" style="1" customWidth="1"/>
    <col min="4" max="4" width="33.1796875" style="1" customWidth="1"/>
    <col min="5" max="5" width="15.453125" style="38" customWidth="1"/>
    <col min="6" max="6" width="15.1796875" style="1" customWidth="1"/>
    <col min="7" max="7" width="9.453125" style="1" customWidth="1"/>
    <col min="8" max="8" width="2" style="1" customWidth="1"/>
    <col min="9" max="9" width="9.54296875" style="1" customWidth="1"/>
    <col min="10" max="10" width="11.1796875" style="1" bestFit="1" customWidth="1"/>
    <col min="11" max="11" width="0.1796875" style="1" hidden="1" customWidth="1"/>
    <col min="12" max="12" width="0.54296875" style="1" customWidth="1"/>
    <col min="13" max="13" width="13.453125" style="1" customWidth="1"/>
    <col min="14" max="18" width="9.1796875" style="1" customWidth="1"/>
    <col min="19" max="19" width="0" style="1" hidden="1"/>
    <col min="20" max="257" width="9.1796875" style="1" customWidth="1"/>
  </cols>
  <sheetData>
    <row r="1" spans="2:16" ht="23.5" x14ac:dyDescent="0.55000000000000004">
      <c r="B1" s="2" t="s">
        <v>144</v>
      </c>
    </row>
    <row r="2" spans="2:16" x14ac:dyDescent="0.35">
      <c r="B2" s="1" t="str">
        <f>'hse1'!B3</f>
        <v>P.O BOX 9473-00200 NAIROBI</v>
      </c>
      <c r="O2" s="1" t="s">
        <v>160</v>
      </c>
      <c r="P2" s="1" t="s">
        <v>159</v>
      </c>
    </row>
    <row r="3" spans="2:16" ht="18.5" x14ac:dyDescent="0.45">
      <c r="B3" s="3" t="s">
        <v>0</v>
      </c>
      <c r="O3" s="1">
        <f>P3-R3</f>
        <v>10270</v>
      </c>
      <c r="P3" s="1">
        <v>10270</v>
      </c>
    </row>
    <row r="4" spans="2:16" x14ac:dyDescent="0.35">
      <c r="I4" s="1" t="s">
        <v>6</v>
      </c>
      <c r="J4" s="1">
        <f>'hse1'!H4+27-1</f>
        <v>20242027</v>
      </c>
      <c r="M4" s="1">
        <f>'hse1'!H4+27-1</f>
        <v>20242027</v>
      </c>
      <c r="O4" s="1">
        <f t="shared" ref="O4:O38" si="0">P4-R4</f>
        <v>10304</v>
      </c>
      <c r="P4" s="1">
        <v>10304</v>
      </c>
    </row>
    <row r="5" spans="2:16" x14ac:dyDescent="0.35">
      <c r="O5" s="1">
        <f t="shared" si="0"/>
        <v>10988</v>
      </c>
      <c r="P5" s="1">
        <v>10988</v>
      </c>
    </row>
    <row r="6" spans="2:16" x14ac:dyDescent="0.35">
      <c r="B6" s="1" t="s">
        <v>7</v>
      </c>
      <c r="D6" s="4" t="s">
        <v>193</v>
      </c>
      <c r="O6" s="1">
        <f t="shared" si="0"/>
        <v>11070</v>
      </c>
      <c r="P6" s="1">
        <v>11070</v>
      </c>
    </row>
    <row r="7" spans="2:16" x14ac:dyDescent="0.35">
      <c r="O7" s="1">
        <f t="shared" si="0"/>
        <v>1197</v>
      </c>
      <c r="P7" s="1">
        <v>1197</v>
      </c>
    </row>
    <row r="8" spans="2:16" x14ac:dyDescent="0.35">
      <c r="B8" s="1" t="s">
        <v>86</v>
      </c>
      <c r="D8" s="1" t="s">
        <v>71</v>
      </c>
      <c r="O8" s="1">
        <f t="shared" si="0"/>
        <v>9250</v>
      </c>
      <c r="P8" s="1">
        <v>9250</v>
      </c>
    </row>
    <row r="9" spans="2:16" x14ac:dyDescent="0.35">
      <c r="D9" s="22" t="s">
        <v>107</v>
      </c>
      <c r="O9" s="1">
        <f t="shared" si="0"/>
        <v>8770</v>
      </c>
      <c r="P9" s="1">
        <v>8770</v>
      </c>
    </row>
    <row r="10" spans="2:16" x14ac:dyDescent="0.35">
      <c r="B10" s="1" t="s">
        <v>1</v>
      </c>
      <c r="D10" s="5" t="str">
        <f>'hse1'!C10</f>
        <v>27/1/2026</v>
      </c>
      <c r="O10" s="1">
        <f t="shared" si="0"/>
        <v>23190</v>
      </c>
      <c r="P10" s="1">
        <v>23190</v>
      </c>
    </row>
    <row r="11" spans="2:16" x14ac:dyDescent="0.35">
      <c r="O11" s="1">
        <f t="shared" si="0"/>
        <v>10910</v>
      </c>
      <c r="P11" s="1">
        <v>10910</v>
      </c>
    </row>
    <row r="12" spans="2:16" x14ac:dyDescent="0.35">
      <c r="B12" s="1" t="s">
        <v>2</v>
      </c>
      <c r="D12" s="5">
        <f>'hse1'!C12</f>
        <v>46144</v>
      </c>
      <c r="O12" s="1">
        <f t="shared" si="0"/>
        <v>10910</v>
      </c>
      <c r="P12" s="1">
        <v>10910</v>
      </c>
    </row>
    <row r="13" spans="2:16" x14ac:dyDescent="0.35">
      <c r="C13" s="1" t="s">
        <v>54</v>
      </c>
      <c r="O13" s="1">
        <f t="shared" si="0"/>
        <v>12190</v>
      </c>
      <c r="P13" s="1">
        <v>12190</v>
      </c>
    </row>
    <row r="14" spans="2:16" x14ac:dyDescent="0.35">
      <c r="O14" s="1">
        <f t="shared" si="0"/>
        <v>11070</v>
      </c>
      <c r="P14" s="1">
        <v>11070</v>
      </c>
    </row>
    <row r="15" spans="2:16" x14ac:dyDescent="0.35">
      <c r="B15" s="7" t="s">
        <v>3</v>
      </c>
      <c r="D15" s="7" t="s">
        <v>4</v>
      </c>
      <c r="F15" s="1" t="s">
        <v>5</v>
      </c>
      <c r="O15" s="1">
        <f t="shared" si="0"/>
        <v>9090</v>
      </c>
      <c r="P15" s="1">
        <v>9090</v>
      </c>
    </row>
    <row r="16" spans="2:16" x14ac:dyDescent="0.35">
      <c r="B16" s="8">
        <f>meter!D29</f>
        <v>214</v>
      </c>
      <c r="C16" s="8">
        <v>1</v>
      </c>
      <c r="D16" s="8">
        <f>meter!E29</f>
        <v>215</v>
      </c>
      <c r="E16" s="38" t="s">
        <v>19</v>
      </c>
      <c r="F16" s="9">
        <f>D16-B16</f>
        <v>1</v>
      </c>
      <c r="G16" s="9"/>
      <c r="O16" s="1">
        <f t="shared" si="0"/>
        <v>9420</v>
      </c>
      <c r="P16" s="1">
        <v>9420</v>
      </c>
    </row>
    <row r="17" spans="2:16" x14ac:dyDescent="0.35">
      <c r="F17" s="1" t="s">
        <v>91</v>
      </c>
      <c r="O17" s="1">
        <f t="shared" si="0"/>
        <v>11154</v>
      </c>
      <c r="P17" s="1">
        <v>11154</v>
      </c>
    </row>
    <row r="18" spans="2:16" x14ac:dyDescent="0.35">
      <c r="D18" s="1" t="s">
        <v>40</v>
      </c>
      <c r="E18" s="38" t="s">
        <v>31</v>
      </c>
      <c r="F18" s="11">
        <f>meter!O29</f>
        <v>1132</v>
      </c>
      <c r="G18" s="11"/>
      <c r="O18" s="1">
        <f t="shared" si="0"/>
        <v>10430</v>
      </c>
      <c r="P18" s="1">
        <v>10430</v>
      </c>
    </row>
    <row r="19" spans="2:16" ht="15.5" x14ac:dyDescent="0.35">
      <c r="B19" s="10"/>
      <c r="O19" s="1">
        <f t="shared" si="0"/>
        <v>11831</v>
      </c>
      <c r="P19" s="1">
        <v>11831</v>
      </c>
    </row>
    <row r="20" spans="2:16" x14ac:dyDescent="0.35">
      <c r="D20" s="1" t="s">
        <v>9</v>
      </c>
      <c r="E20" s="38" t="s">
        <v>18</v>
      </c>
      <c r="F20" s="1">
        <f>meter!H29</f>
        <v>220</v>
      </c>
      <c r="O20" s="1">
        <f t="shared" si="0"/>
        <v>10590</v>
      </c>
      <c r="P20" s="1">
        <v>10590</v>
      </c>
    </row>
    <row r="21" spans="2:16" x14ac:dyDescent="0.35">
      <c r="O21" s="1">
        <f t="shared" si="0"/>
        <v>22423</v>
      </c>
      <c r="P21" s="1">
        <v>22423</v>
      </c>
    </row>
    <row r="22" spans="2:16" x14ac:dyDescent="0.35">
      <c r="D22" s="1" t="s">
        <v>113</v>
      </c>
      <c r="E22" s="38" t="s">
        <v>18</v>
      </c>
      <c r="F22" s="1">
        <f>'hse1'!E22</f>
        <v>110</v>
      </c>
      <c r="O22" s="1">
        <f t="shared" si="0"/>
        <v>9250</v>
      </c>
      <c r="P22" s="1">
        <v>9250</v>
      </c>
    </row>
    <row r="23" spans="2:16" x14ac:dyDescent="0.35">
      <c r="O23" s="1">
        <f t="shared" si="0"/>
        <v>10162</v>
      </c>
      <c r="P23" s="1">
        <v>10162</v>
      </c>
    </row>
    <row r="24" spans="2:16" x14ac:dyDescent="0.35">
      <c r="D24" s="1" t="s">
        <v>34</v>
      </c>
      <c r="E24" s="38" t="s">
        <v>18</v>
      </c>
      <c r="F24" s="11">
        <v>8500</v>
      </c>
      <c r="G24" s="11"/>
      <c r="O24" s="1">
        <f t="shared" si="0"/>
        <v>10270</v>
      </c>
      <c r="P24" s="1">
        <v>10270</v>
      </c>
    </row>
    <row r="25" spans="2:16" x14ac:dyDescent="0.35">
      <c r="F25" s="11"/>
      <c r="G25" s="11"/>
      <c r="O25" s="1">
        <f t="shared" si="0"/>
        <v>11070</v>
      </c>
      <c r="P25" s="1">
        <v>11070</v>
      </c>
    </row>
    <row r="26" spans="2:16" x14ac:dyDescent="0.35">
      <c r="D26" s="1" t="s">
        <v>39</v>
      </c>
      <c r="E26" s="38" t="str">
        <f>'hse1'!D26</f>
        <v>Kshs.</v>
      </c>
      <c r="O26" s="1">
        <f t="shared" si="0"/>
        <v>11550</v>
      </c>
      <c r="P26" s="1">
        <v>11550</v>
      </c>
    </row>
    <row r="27" spans="2:16" x14ac:dyDescent="0.35">
      <c r="D27" s="12" t="s">
        <v>170</v>
      </c>
      <c r="E27" s="39" t="s">
        <v>31</v>
      </c>
      <c r="F27" s="11">
        <v>150</v>
      </c>
      <c r="G27" s="11"/>
      <c r="O27" s="1">
        <f t="shared" si="0"/>
        <v>11393</v>
      </c>
      <c r="P27" s="1">
        <v>11393</v>
      </c>
    </row>
    <row r="28" spans="2:16" x14ac:dyDescent="0.35">
      <c r="D28" s="1" t="s">
        <v>103</v>
      </c>
      <c r="E28" s="1" t="s">
        <v>18</v>
      </c>
      <c r="F28" s="11">
        <f>IF(F18*4%*1&lt;0,0,F18*4%*1)</f>
        <v>45.28</v>
      </c>
      <c r="G28" s="11"/>
      <c r="O28" s="1">
        <f t="shared" si="0"/>
        <v>10802</v>
      </c>
      <c r="P28" s="1">
        <v>10802</v>
      </c>
    </row>
    <row r="29" spans="2:16" x14ac:dyDescent="0.35">
      <c r="F29" s="11"/>
      <c r="G29" s="11"/>
      <c r="M29" s="1" t="s">
        <v>54</v>
      </c>
      <c r="O29" s="1">
        <f t="shared" si="0"/>
        <v>8930</v>
      </c>
      <c r="P29" s="1">
        <v>8930</v>
      </c>
    </row>
    <row r="30" spans="2:16" x14ac:dyDescent="0.35">
      <c r="D30" s="1" t="s">
        <v>11</v>
      </c>
      <c r="E30" s="1" t="s">
        <v>31</v>
      </c>
      <c r="F30" s="11">
        <f>SUM(F17:F29)</f>
        <v>10157.280000000001</v>
      </c>
      <c r="G30" s="11"/>
      <c r="I30" s="13"/>
      <c r="O30" s="1">
        <f t="shared" si="0"/>
        <v>9570</v>
      </c>
      <c r="P30" s="1">
        <v>9570</v>
      </c>
    </row>
    <row r="31" spans="2:16" x14ac:dyDescent="0.35">
      <c r="E31" s="1"/>
      <c r="F31" s="11"/>
      <c r="G31" s="11"/>
      <c r="O31" s="1">
        <f t="shared" si="0"/>
        <v>11390</v>
      </c>
      <c r="P31" s="1">
        <v>11390</v>
      </c>
    </row>
    <row r="32" spans="2:16" x14ac:dyDescent="0.35">
      <c r="D32" s="1" t="s">
        <v>43</v>
      </c>
      <c r="E32" s="1"/>
      <c r="F32" s="11">
        <f>meter!R29</f>
        <v>0</v>
      </c>
      <c r="G32" s="11"/>
      <c r="O32" s="1">
        <f t="shared" si="0"/>
        <v>10750</v>
      </c>
      <c r="P32" s="1">
        <v>10750</v>
      </c>
    </row>
    <row r="33" spans="1:19" x14ac:dyDescent="0.35">
      <c r="E33" s="1"/>
      <c r="F33" s="11"/>
      <c r="G33" s="11"/>
      <c r="O33" s="1">
        <f t="shared" si="0"/>
        <v>11732</v>
      </c>
      <c r="P33" s="1">
        <v>11732</v>
      </c>
    </row>
    <row r="34" spans="1:19" x14ac:dyDescent="0.35">
      <c r="D34" s="1" t="s">
        <v>120</v>
      </c>
      <c r="E34" s="1"/>
      <c r="F34" s="13">
        <f>F30-F32</f>
        <v>10157.280000000001</v>
      </c>
      <c r="G34" s="13"/>
      <c r="O34" s="1">
        <f t="shared" si="0"/>
        <v>10934</v>
      </c>
      <c r="P34" s="1">
        <v>10934</v>
      </c>
      <c r="S34" s="1">
        <v>700</v>
      </c>
    </row>
    <row r="35" spans="1:19" ht="15.5" x14ac:dyDescent="0.35">
      <c r="C35" s="10" t="s">
        <v>12</v>
      </c>
      <c r="E35" s="1"/>
      <c r="O35" s="1">
        <f t="shared" si="0"/>
        <v>10270</v>
      </c>
      <c r="P35" s="1">
        <v>10270</v>
      </c>
    </row>
    <row r="36" spans="1:19" ht="18.5" x14ac:dyDescent="0.45">
      <c r="A36" s="1" t="s">
        <v>95</v>
      </c>
      <c r="B36" s="14" t="s">
        <v>82</v>
      </c>
      <c r="E36" s="1"/>
      <c r="M36" s="40"/>
      <c r="O36" s="1">
        <f t="shared" si="0"/>
        <v>10598</v>
      </c>
      <c r="P36" s="1">
        <v>10598</v>
      </c>
    </row>
    <row r="37" spans="1:19" x14ac:dyDescent="0.35">
      <c r="A37" s="1" t="s">
        <v>96</v>
      </c>
      <c r="B37" s="15" t="s">
        <v>146</v>
      </c>
      <c r="E37" s="1"/>
      <c r="O37" s="1">
        <f t="shared" si="0"/>
        <v>8770</v>
      </c>
      <c r="P37" s="1">
        <v>8770</v>
      </c>
    </row>
    <row r="38" spans="1:19" x14ac:dyDescent="0.35">
      <c r="B38" s="15"/>
      <c r="E38" s="1"/>
      <c r="L38" s="40"/>
      <c r="O38" s="1">
        <f t="shared" si="0"/>
        <v>8770</v>
      </c>
      <c r="P38" s="1">
        <v>8770</v>
      </c>
    </row>
    <row r="39" spans="1:19" x14ac:dyDescent="0.35">
      <c r="A39" s="1" t="s">
        <v>97</v>
      </c>
      <c r="B39" s="15" t="s">
        <v>83</v>
      </c>
      <c r="E39" s="1"/>
      <c r="P39" s="1">
        <f>SUM(P3:P38)</f>
        <v>391268</v>
      </c>
      <c r="R39" s="1">
        <f>SUM(R3:R38)</f>
        <v>0</v>
      </c>
    </row>
    <row r="40" spans="1:19" hidden="1" x14ac:dyDescent="0.35">
      <c r="B40" s="15"/>
      <c r="E40" s="1"/>
    </row>
    <row r="41" spans="1:19" x14ac:dyDescent="0.35">
      <c r="A41" s="1" t="s">
        <v>98</v>
      </c>
      <c r="B41" s="15" t="s">
        <v>81</v>
      </c>
      <c r="E41" s="1"/>
    </row>
    <row r="42" spans="1:19" x14ac:dyDescent="0.35">
      <c r="A42" s="1" t="s">
        <v>99</v>
      </c>
      <c r="B42" s="15" t="s">
        <v>102</v>
      </c>
      <c r="E42" s="1"/>
    </row>
    <row r="43" spans="1:19" x14ac:dyDescent="0.35">
      <c r="A43" s="1" t="s">
        <v>100</v>
      </c>
      <c r="B43" s="4" t="s">
        <v>140</v>
      </c>
      <c r="E43" s="1"/>
    </row>
    <row r="44" spans="1:19" x14ac:dyDescent="0.35">
      <c r="B44" s="4" t="s">
        <v>80</v>
      </c>
      <c r="E44" s="1"/>
      <c r="J44" s="41"/>
      <c r="K44" s="42"/>
    </row>
    <row r="45" spans="1:19" x14ac:dyDescent="0.35">
      <c r="A45" s="16"/>
      <c r="B45" s="4" t="s">
        <v>14</v>
      </c>
      <c r="E45" s="1"/>
      <c r="H45" s="16"/>
      <c r="I45" s="16"/>
    </row>
    <row r="46" spans="1:19" x14ac:dyDescent="0.35">
      <c r="B46" s="4" t="s">
        <v>15</v>
      </c>
      <c r="E46" s="1"/>
    </row>
    <row r="47" spans="1:19" ht="32" x14ac:dyDescent="0.7">
      <c r="B47" s="17" t="s">
        <v>199</v>
      </c>
      <c r="C47" s="18"/>
      <c r="D47" s="18"/>
      <c r="E47" s="18"/>
    </row>
    <row r="48" spans="1:19" x14ac:dyDescent="0.35">
      <c r="B48" s="16" t="s">
        <v>84</v>
      </c>
      <c r="C48" s="16"/>
      <c r="D48" s="16"/>
      <c r="E48" s="16"/>
      <c r="F48" s="16"/>
      <c r="G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H50" s="15"/>
      <c r="I50" s="15"/>
    </row>
    <row r="51" spans="1:15" ht="32" x14ac:dyDescent="0.7">
      <c r="A51" s="15"/>
      <c r="B51" s="97" t="s">
        <v>255</v>
      </c>
      <c r="C51" s="95"/>
      <c r="D51" s="95"/>
      <c r="E51" s="95"/>
      <c r="F51" s="95"/>
      <c r="G51" s="95"/>
      <c r="H51" s="95"/>
      <c r="I51" s="95"/>
      <c r="J51" s="95"/>
      <c r="K51" s="95"/>
      <c r="L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L51"/>
  </mergeCells>
  <pageMargins left="0.7" right="0.7" top="0.75" bottom="0.75" header="0.3" footer="0.3"/>
  <pageSetup paperSize="9" scale="6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V55"/>
  <sheetViews>
    <sheetView topLeftCell="B33" zoomScale="60" workbookViewId="0">
      <selection activeCell="I60" sqref="I60"/>
    </sheetView>
  </sheetViews>
  <sheetFormatPr defaultColWidth="9" defaultRowHeight="14.5" x14ac:dyDescent="0.35"/>
  <cols>
    <col min="1" max="1" width="1" style="1" customWidth="1"/>
    <col min="2" max="2" width="24.1796875" style="1" customWidth="1"/>
    <col min="3" max="3" width="0.26953125" style="1" customWidth="1"/>
    <col min="4" max="4" width="19.81640625" style="1" customWidth="1"/>
    <col min="5" max="5" width="13.1796875" style="38" customWidth="1"/>
    <col min="6" max="6" width="16.26953125" style="1" customWidth="1"/>
    <col min="7" max="7" width="0.54296875" style="1" customWidth="1"/>
    <col min="8" max="8" width="12.26953125" style="1" customWidth="1"/>
    <col min="9" max="9" width="14.26953125" style="1" customWidth="1"/>
    <col min="10" max="10" width="8.7265625" style="1" hidden="1" customWidth="1"/>
    <col min="11" max="11" width="9.1796875" style="1" hidden="1" customWidth="1"/>
    <col min="12" max="12" width="14.45312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F4" s="1" t="s">
        <v>6</v>
      </c>
      <c r="H4" s="1">
        <f>'hse1'!H4+28-1</f>
        <v>20242028</v>
      </c>
      <c r="I4" s="1">
        <f>'hse1'!H4+28-1</f>
        <v>20242028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meter!A30</f>
        <v>TITUS</v>
      </c>
      <c r="I6" s="11"/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70</v>
      </c>
      <c r="N8" s="1">
        <f t="shared" si="0"/>
        <v>9250</v>
      </c>
      <c r="O8" s="1">
        <v>9250</v>
      </c>
    </row>
    <row r="9" spans="2:15" x14ac:dyDescent="0.35">
      <c r="D9" s="22" t="s">
        <v>108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meter!D30</f>
        <v>116</v>
      </c>
      <c r="C16" s="8"/>
      <c r="D16" s="8">
        <f>meter!E30</f>
        <v>118</v>
      </c>
      <c r="E16" s="38" t="s">
        <v>19</v>
      </c>
      <c r="F16" s="9">
        <f>D16-B16</f>
        <v>2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38" t="s">
        <v>31</v>
      </c>
      <c r="F18" s="11">
        <f>meter!O30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F19" s="1">
        <v>0</v>
      </c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18</v>
      </c>
      <c r="F20" s="1">
        <f>meter!H30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38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F23" s="1">
        <v>0</v>
      </c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38" t="s">
        <v>18</v>
      </c>
      <c r="F24" s="11">
        <f>meter!N30</f>
        <v>9000</v>
      </c>
      <c r="N24" s="1">
        <f t="shared" si="0"/>
        <v>10270</v>
      </c>
      <c r="O24" s="1">
        <v>10270</v>
      </c>
    </row>
    <row r="25" spans="2:15" x14ac:dyDescent="0.35">
      <c r="F25" s="11">
        <v>0</v>
      </c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38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39" t="s">
        <v>18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52</v>
      </c>
      <c r="E28" s="38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>
        <v>0</v>
      </c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9700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E32" s="1"/>
      <c r="F32" s="11">
        <f>meter!R30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E34" s="1"/>
      <c r="F34" s="13">
        <f>F30-F32</f>
        <v>9700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98</v>
      </c>
      <c r="B41" s="15" t="s">
        <v>81</v>
      </c>
      <c r="E41" s="1"/>
    </row>
    <row r="42" spans="1:18" x14ac:dyDescent="0.35">
      <c r="A42" s="1" t="s">
        <v>99</v>
      </c>
      <c r="B42" s="15" t="s">
        <v>102</v>
      </c>
      <c r="E42" s="1"/>
    </row>
    <row r="43" spans="1:18" x14ac:dyDescent="0.35">
      <c r="A43" s="1" t="s">
        <v>100</v>
      </c>
      <c r="B43" s="4" t="s">
        <v>140</v>
      </c>
      <c r="E43" s="1"/>
    </row>
    <row r="44" spans="1:18" x14ac:dyDescent="0.35">
      <c r="B44" s="4" t="s">
        <v>80</v>
      </c>
      <c r="E44" s="1"/>
      <c r="I44" s="41"/>
      <c r="J44" s="42"/>
    </row>
    <row r="45" spans="1:18" x14ac:dyDescent="0.35">
      <c r="A45" s="16"/>
      <c r="B45" s="4" t="s">
        <v>14</v>
      </c>
      <c r="E45" s="1"/>
      <c r="G45" s="16"/>
      <c r="H45" s="16"/>
    </row>
    <row r="46" spans="1:18" x14ac:dyDescent="0.35">
      <c r="B46" s="4" t="s">
        <v>15</v>
      </c>
      <c r="E46" s="1"/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E49" s="1"/>
      <c r="O49" s="1" t="s">
        <v>185</v>
      </c>
    </row>
    <row r="50" spans="1:15" ht="32" x14ac:dyDescent="0.7">
      <c r="A50" s="1" t="s">
        <v>101</v>
      </c>
      <c r="B50" s="17"/>
      <c r="E50" s="1"/>
      <c r="G50" s="15"/>
      <c r="H50" s="15"/>
    </row>
    <row r="51" spans="1:15" ht="32" x14ac:dyDescent="0.7">
      <c r="A51" s="15"/>
      <c r="B51" s="97" t="s">
        <v>256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  <c r="E52" s="1"/>
    </row>
    <row r="53" spans="1:15" x14ac:dyDescent="0.35">
      <c r="B53" s="15" t="s">
        <v>16</v>
      </c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V53"/>
  <sheetViews>
    <sheetView topLeftCell="A26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1.7265625" style="1" customWidth="1"/>
    <col min="3" max="3" width="9.1796875" style="1" customWidth="1"/>
    <col min="4" max="4" width="19.81640625" style="1" customWidth="1"/>
    <col min="5" max="5" width="13.1796875" style="1" customWidth="1"/>
    <col min="6" max="6" width="15.453125" style="1" customWidth="1"/>
    <col min="7" max="7" width="9.1796875" style="1" hidden="1" customWidth="1"/>
    <col min="8" max="8" width="9.1796875" style="1" customWidth="1"/>
    <col min="9" max="9" width="12.4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'hse1'!H4+29-1</f>
        <v>20242029</v>
      </c>
      <c r="J4" s="1">
        <f>'hse1'!H4+29-1</f>
        <v>20242029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meter!A31</f>
        <v>PAUL MBOK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meter!D31</f>
        <v>612</v>
      </c>
      <c r="C16" s="8"/>
      <c r="D16" s="8">
        <f>meter!E31</f>
        <v>615</v>
      </c>
      <c r="E16" s="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">
        <f>meter!O31</f>
        <v>0</v>
      </c>
      <c r="L18" s="1" t="s">
        <v>162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meter!H31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f>meter!N31</f>
        <v>10500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1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10</v>
      </c>
      <c r="E28" s="1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11420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meter!R31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F34" s="13">
        <f>F30-F32</f>
        <v>11420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  <c r="I44" s="41"/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" t="s">
        <v>101</v>
      </c>
      <c r="B50" s="17"/>
      <c r="G50" s="15"/>
      <c r="H50" s="15"/>
    </row>
    <row r="51" spans="1:15" ht="32" x14ac:dyDescent="0.7">
      <c r="A51" s="15"/>
      <c r="B51" s="97" t="s">
        <v>257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V53"/>
  <sheetViews>
    <sheetView topLeftCell="A35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14" style="1" customWidth="1"/>
    <col min="3" max="3" width="0.1796875" style="1" customWidth="1"/>
    <col min="4" max="4" width="25.54296875" style="1" customWidth="1"/>
    <col min="5" max="5" width="13.1796875" style="1" customWidth="1"/>
    <col min="6" max="6" width="14.7265625" style="1" customWidth="1"/>
    <col min="7" max="8" width="9.1796875" style="1" customWidth="1"/>
    <col min="9" max="9" width="9.26953125" style="1" hidden="1" customWidth="1"/>
    <col min="10" max="10" width="13.4531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'hse1'!H4+30-1</f>
        <v>20242030</v>
      </c>
      <c r="J4" s="1">
        <f>'hse1'!H4+30-1</f>
        <v>20242030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meter!A32</f>
        <v>MARY MUTHONI</v>
      </c>
      <c r="N6" s="1">
        <f t="shared" si="0"/>
        <v>11070</v>
      </c>
      <c r="O6" s="1">
        <v>11070</v>
      </c>
    </row>
    <row r="7" spans="2:15" x14ac:dyDescent="0.35">
      <c r="D7" s="4"/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2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meter!D32</f>
        <v>59</v>
      </c>
      <c r="C16" s="8"/>
      <c r="D16" s="8">
        <f>meter!E32</f>
        <v>62</v>
      </c>
      <c r="E16" s="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">
        <f>meter!O32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meter!H32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f>meter!N32</f>
        <v>10000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1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116</v>
      </c>
      <c r="E28" s="1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10920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meter!R32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F34" s="13">
        <f>F30-F32</f>
        <v>10920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  <c r="I44" s="41"/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" t="s">
        <v>101</v>
      </c>
      <c r="B50" s="17"/>
      <c r="G50" s="15"/>
      <c r="H50" s="15"/>
    </row>
    <row r="51" spans="1:15" ht="32" x14ac:dyDescent="0.7">
      <c r="A51" s="15"/>
      <c r="B51" s="97" t="s">
        <v>258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V53"/>
  <sheetViews>
    <sheetView topLeftCell="A27" zoomScale="60" workbookViewId="0">
      <selection activeCell="M59" sqref="M59"/>
    </sheetView>
  </sheetViews>
  <sheetFormatPr defaultColWidth="9" defaultRowHeight="14.5" x14ac:dyDescent="0.35"/>
  <cols>
    <col min="1" max="1" width="9.1796875" style="1" customWidth="1"/>
    <col min="2" max="2" width="24.1796875" style="1" customWidth="1"/>
    <col min="3" max="3" width="9.1796875" style="1" customWidth="1"/>
    <col min="4" max="4" width="19.81640625" style="1" customWidth="1"/>
    <col min="5" max="5" width="13.1796875" style="1" customWidth="1"/>
    <col min="6" max="6" width="14.453125" style="1" customWidth="1"/>
    <col min="7" max="8" width="9.1796875" style="1" customWidth="1"/>
    <col min="9" max="9" width="9.26953125" style="1" hidden="1" customWidth="1"/>
    <col min="10" max="10" width="13.7265625" style="1" customWidth="1"/>
    <col min="11" max="11" width="0.2695312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'hse1'!H4+31-1</f>
        <v>20242031</v>
      </c>
      <c r="J4" s="1">
        <f>'hse1'!H4+31-1</f>
        <v>20242031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">
        <v>202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74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2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meter!D33</f>
        <v>137</v>
      </c>
      <c r="C16" s="8"/>
      <c r="D16" s="8">
        <f>meter!E33</f>
        <v>140</v>
      </c>
      <c r="E16" s="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"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meter!H33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v>11000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D26" s="1" t="str">
        <f>'hse1'!C26</f>
        <v>security</v>
      </c>
      <c r="E26" s="1" t="str">
        <f>'hse1'!D26</f>
        <v>Kshs.</v>
      </c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116</v>
      </c>
      <c r="E28" s="1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11920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meter!R33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F34" s="13">
        <f>F30-F32</f>
        <v>11920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  <c r="I44" s="41"/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" t="s">
        <v>101</v>
      </c>
      <c r="B50" s="17"/>
      <c r="G50" s="15"/>
      <c r="H50" s="15"/>
    </row>
    <row r="51" spans="1:15" ht="32" x14ac:dyDescent="0.7">
      <c r="A51" s="15"/>
      <c r="B51" s="97" t="s">
        <v>260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V53"/>
  <sheetViews>
    <sheetView topLeftCell="A45" zoomScale="60" workbookViewId="0">
      <selection activeCell="I59" sqref="I59"/>
    </sheetView>
  </sheetViews>
  <sheetFormatPr defaultColWidth="9" defaultRowHeight="14.5" x14ac:dyDescent="0.35"/>
  <cols>
    <col min="1" max="1" width="9.1796875" style="1" customWidth="1"/>
    <col min="2" max="2" width="21" style="1" customWidth="1"/>
    <col min="3" max="3" width="9.1796875" style="1" customWidth="1"/>
    <col min="4" max="4" width="19.81640625" style="1" customWidth="1"/>
    <col min="5" max="5" width="13.1796875" style="1" customWidth="1"/>
    <col min="6" max="6" width="17.453125" style="1" customWidth="1"/>
    <col min="7" max="7" width="9.1796875" style="1" hidden="1" customWidth="1"/>
    <col min="8" max="8" width="9.54296875" style="1" customWidth="1"/>
    <col min="9" max="9" width="16.72656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1:15" ht="23.5" x14ac:dyDescent="0.55000000000000004">
      <c r="A1" s="12" t="s">
        <v>171</v>
      </c>
      <c r="B1" s="2" t="s">
        <v>144</v>
      </c>
    </row>
    <row r="2" spans="1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1:15" ht="18.5" x14ac:dyDescent="0.45">
      <c r="B3" s="3" t="s">
        <v>0</v>
      </c>
      <c r="N3" s="1">
        <f>O3-Q3</f>
        <v>10270</v>
      </c>
      <c r="O3" s="1">
        <v>10270</v>
      </c>
    </row>
    <row r="4" spans="1:15" x14ac:dyDescent="0.35">
      <c r="H4" s="1" t="s">
        <v>6</v>
      </c>
      <c r="I4" s="1">
        <f>'hse1'!H4+32-1</f>
        <v>20242032</v>
      </c>
      <c r="J4" s="1">
        <f>'hse1'!H4+32-1</f>
        <v>20242032</v>
      </c>
      <c r="N4" s="1">
        <f t="shared" ref="N4:N38" si="0">O4-Q4</f>
        <v>10304</v>
      </c>
      <c r="O4" s="1">
        <v>10304</v>
      </c>
    </row>
    <row r="5" spans="1:15" x14ac:dyDescent="0.35">
      <c r="N5" s="1">
        <f t="shared" si="0"/>
        <v>10988</v>
      </c>
      <c r="O5" s="1">
        <v>10988</v>
      </c>
    </row>
    <row r="6" spans="1:15" x14ac:dyDescent="0.35">
      <c r="B6" s="1" t="s">
        <v>7</v>
      </c>
      <c r="D6" s="4" t="str">
        <f>meter!A34</f>
        <v>MIKE MUTISYA</v>
      </c>
      <c r="N6" s="1">
        <f t="shared" si="0"/>
        <v>11070</v>
      </c>
      <c r="O6" s="1">
        <v>11070</v>
      </c>
    </row>
    <row r="7" spans="1:15" x14ac:dyDescent="0.35">
      <c r="B7" s="74" t="s">
        <v>221</v>
      </c>
      <c r="D7" s="74" t="s">
        <v>227</v>
      </c>
      <c r="N7" s="1">
        <f t="shared" si="0"/>
        <v>1197</v>
      </c>
      <c r="O7" s="1">
        <v>1197</v>
      </c>
    </row>
    <row r="8" spans="1:15" x14ac:dyDescent="0.35">
      <c r="B8" s="1" t="s">
        <v>86</v>
      </c>
      <c r="D8" s="1" t="s">
        <v>75</v>
      </c>
      <c r="N8" s="1">
        <f t="shared" si="0"/>
        <v>9250</v>
      </c>
      <c r="O8" s="1">
        <v>9250</v>
      </c>
    </row>
    <row r="9" spans="1:15" x14ac:dyDescent="0.35">
      <c r="N9" s="1">
        <f t="shared" si="0"/>
        <v>8770</v>
      </c>
      <c r="O9" s="1">
        <v>8770</v>
      </c>
    </row>
    <row r="10" spans="1:15" x14ac:dyDescent="0.35">
      <c r="B10" s="1" t="s">
        <v>1</v>
      </c>
      <c r="D10" s="23" t="str">
        <f>'hse1'!C10</f>
        <v>27/1/2026</v>
      </c>
      <c r="N10" s="1">
        <f t="shared" si="0"/>
        <v>23190</v>
      </c>
      <c r="O10" s="1">
        <v>23190</v>
      </c>
    </row>
    <row r="11" spans="1:15" x14ac:dyDescent="0.35">
      <c r="N11" s="1">
        <f t="shared" si="0"/>
        <v>10910</v>
      </c>
      <c r="O11" s="1">
        <v>10910</v>
      </c>
    </row>
    <row r="12" spans="1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1:15" x14ac:dyDescent="0.35">
      <c r="C13" s="1" t="s">
        <v>54</v>
      </c>
      <c r="N13" s="1">
        <f t="shared" si="0"/>
        <v>12190</v>
      </c>
      <c r="O13" s="1">
        <v>12190</v>
      </c>
    </row>
    <row r="14" spans="1:15" x14ac:dyDescent="0.35">
      <c r="N14" s="1">
        <f t="shared" si="0"/>
        <v>11070</v>
      </c>
      <c r="O14" s="1">
        <v>11070</v>
      </c>
    </row>
    <row r="15" spans="1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1:15" x14ac:dyDescent="0.35">
      <c r="B16" s="8">
        <f>meter!D34</f>
        <v>582</v>
      </c>
      <c r="C16" s="8"/>
      <c r="D16" s="8">
        <f>meter!E34</f>
        <v>588</v>
      </c>
      <c r="E16" s="8" t="s">
        <v>19</v>
      </c>
      <c r="F16" s="9">
        <f>D16-B16</f>
        <v>6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">
        <f>meter!O33</f>
        <v>1750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meter!H34</f>
        <v>1320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f>meter!N34</f>
        <v>10000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112</v>
      </c>
      <c r="E28" s="1" t="s">
        <v>18</v>
      </c>
      <c r="F28" s="11">
        <f>IF(F18*4%*1&lt;0,0,F18*4%*1)</f>
        <v>70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13400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meter!R34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F34" s="13">
        <f>F30-F32</f>
        <v>13400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  <c r="I44" s="41"/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" t="s">
        <v>54</v>
      </c>
      <c r="B50" s="17"/>
      <c r="G50" s="15"/>
      <c r="H50" s="15"/>
    </row>
    <row r="51" spans="1:15" ht="32" x14ac:dyDescent="0.7">
      <c r="A51" s="15"/>
      <c r="B51" s="97" t="s">
        <v>259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V53"/>
  <sheetViews>
    <sheetView topLeftCell="A25" zoomScale="60" workbookViewId="0">
      <selection activeCell="C51" sqref="C51:L51"/>
    </sheetView>
  </sheetViews>
  <sheetFormatPr defaultColWidth="9" defaultRowHeight="14.5" x14ac:dyDescent="0.35"/>
  <cols>
    <col min="1" max="1" width="9.1796875" style="1" customWidth="1"/>
    <col min="2" max="2" width="20.7265625" style="1" customWidth="1"/>
    <col min="3" max="3" width="9.1796875" style="1" customWidth="1"/>
    <col min="4" max="4" width="19.81640625" style="1" customWidth="1"/>
    <col min="5" max="5" width="13.1796875" style="1" customWidth="1"/>
    <col min="6" max="6" width="15.7265625" style="1" customWidth="1"/>
    <col min="7" max="7" width="9.1796875" style="1" hidden="1" customWidth="1"/>
    <col min="8" max="8" width="9.1796875" style="1" customWidth="1"/>
    <col min="9" max="9" width="15.72656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'hse1'!H4+33-1</f>
        <v>20242033</v>
      </c>
      <c r="J4" s="1">
        <f>'hse1'!H4+33-1</f>
        <v>20242033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meter!A35</f>
        <v>NAOMI</v>
      </c>
      <c r="N6" s="1">
        <f t="shared" si="0"/>
        <v>11070</v>
      </c>
      <c r="O6" s="1">
        <v>11070</v>
      </c>
    </row>
    <row r="7" spans="2:15" x14ac:dyDescent="0.35">
      <c r="B7" s="74" t="s">
        <v>225</v>
      </c>
      <c r="D7" s="74" t="s">
        <v>226</v>
      </c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meter!D35</f>
        <v>51</v>
      </c>
      <c r="C16" s="8"/>
      <c r="D16" s="8">
        <f>meter!E35</f>
        <v>55</v>
      </c>
      <c r="E16" s="8" t="s">
        <v>19</v>
      </c>
      <c r="F16" s="9">
        <f>D16-B16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85">
        <f>meter!O35</f>
        <v>677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meter!H35</f>
        <v>880</v>
      </c>
      <c r="N20" s="1">
        <f t="shared" si="0"/>
        <v>10590</v>
      </c>
      <c r="O20" s="1">
        <v>10590</v>
      </c>
    </row>
    <row r="21" spans="2:15" x14ac:dyDescent="0.35">
      <c r="F21" s="45" t="s">
        <v>173</v>
      </c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v>12000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10</v>
      </c>
      <c r="E28" s="1" t="s">
        <v>18</v>
      </c>
      <c r="F28" s="11">
        <f>IF(F18*4%*1&lt;0,0,F18*4%*1)</f>
        <v>27.080000000000002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13844.08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v>0</v>
      </c>
      <c r="N32" s="1">
        <f t="shared" si="0"/>
        <v>10750</v>
      </c>
      <c r="O32" s="1">
        <v>10750</v>
      </c>
    </row>
    <row r="33" spans="1:256" x14ac:dyDescent="0.35">
      <c r="F33" s="11"/>
      <c r="N33" s="1">
        <f t="shared" si="0"/>
        <v>11732</v>
      </c>
      <c r="O33" s="1">
        <v>11732</v>
      </c>
    </row>
    <row r="34" spans="1:256" s="79" customFormat="1" x14ac:dyDescent="0.35">
      <c r="A34" s="76"/>
      <c r="B34" s="76"/>
      <c r="C34" s="76"/>
      <c r="D34" s="76" t="s">
        <v>120</v>
      </c>
      <c r="E34" s="76"/>
      <c r="F34" s="77">
        <f>F30-F32</f>
        <v>13844.08</v>
      </c>
      <c r="G34" s="76"/>
      <c r="H34" s="76"/>
      <c r="I34" s="76"/>
      <c r="J34" s="76"/>
      <c r="K34" s="76"/>
      <c r="L34" s="76"/>
      <c r="M34" s="76"/>
      <c r="N34" s="76">
        <f t="shared" si="0"/>
        <v>10934</v>
      </c>
      <c r="O34" s="76">
        <v>10934</v>
      </c>
      <c r="P34" s="76"/>
      <c r="Q34" s="76"/>
      <c r="R34" s="76">
        <v>700</v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spans="1:256" ht="15.5" x14ac:dyDescent="0.35">
      <c r="C35" s="10" t="s">
        <v>12</v>
      </c>
      <c r="N35" s="1">
        <f t="shared" si="0"/>
        <v>10270</v>
      </c>
      <c r="O35" s="1">
        <v>10270</v>
      </c>
    </row>
    <row r="36" spans="1:256" ht="18.5" x14ac:dyDescent="0.45">
      <c r="A36" s="1" t="s">
        <v>95</v>
      </c>
      <c r="B36" s="14" t="s">
        <v>82</v>
      </c>
      <c r="L36" s="40"/>
      <c r="N36" s="1">
        <f t="shared" si="0"/>
        <v>10598</v>
      </c>
      <c r="O36" s="1">
        <v>10598</v>
      </c>
    </row>
    <row r="37" spans="1:256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256" x14ac:dyDescent="0.35">
      <c r="B38" s="15"/>
      <c r="K38" s="40"/>
      <c r="N38" s="1">
        <f t="shared" si="0"/>
        <v>8770</v>
      </c>
      <c r="O38" s="1">
        <v>8770</v>
      </c>
    </row>
    <row r="39" spans="1:256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256" hidden="1" x14ac:dyDescent="0.35">
      <c r="B40" s="15"/>
    </row>
    <row r="41" spans="1:256" x14ac:dyDescent="0.35">
      <c r="A41" s="1" t="s">
        <v>98</v>
      </c>
      <c r="B41" s="15" t="s">
        <v>81</v>
      </c>
    </row>
    <row r="42" spans="1:256" x14ac:dyDescent="0.35">
      <c r="A42" s="1" t="s">
        <v>99</v>
      </c>
      <c r="B42" s="15" t="s">
        <v>102</v>
      </c>
    </row>
    <row r="43" spans="1:256" x14ac:dyDescent="0.35">
      <c r="A43" s="1" t="s">
        <v>100</v>
      </c>
      <c r="B43" s="4" t="s">
        <v>140</v>
      </c>
    </row>
    <row r="44" spans="1:256" x14ac:dyDescent="0.35">
      <c r="B44" s="4" t="s">
        <v>80</v>
      </c>
      <c r="I44" s="41"/>
    </row>
    <row r="45" spans="1:256" x14ac:dyDescent="0.35">
      <c r="A45" s="16"/>
      <c r="B45" s="4" t="s">
        <v>14</v>
      </c>
      <c r="G45" s="16"/>
      <c r="H45" s="16"/>
    </row>
    <row r="46" spans="1:256" x14ac:dyDescent="0.35">
      <c r="B46" s="4" t="s">
        <v>15</v>
      </c>
    </row>
    <row r="47" spans="1:256" ht="32" x14ac:dyDescent="0.7">
      <c r="C47" s="17" t="s">
        <v>199</v>
      </c>
      <c r="D47" s="18"/>
      <c r="E47" s="18"/>
      <c r="F47" s="18"/>
    </row>
    <row r="48" spans="1:256" x14ac:dyDescent="0.35">
      <c r="C48" s="16" t="s">
        <v>84</v>
      </c>
      <c r="D48" s="16"/>
      <c r="E48" s="16"/>
      <c r="F48" s="16"/>
      <c r="G48" s="16"/>
    </row>
    <row r="49" spans="1:15" x14ac:dyDescent="0.35">
      <c r="A49" s="15"/>
      <c r="B49" s="15"/>
      <c r="C49" s="16" t="s">
        <v>13</v>
      </c>
      <c r="O49" s="1" t="s">
        <v>185</v>
      </c>
    </row>
    <row r="50" spans="1:15" ht="32" x14ac:dyDescent="0.7">
      <c r="A50" s="1" t="s">
        <v>101</v>
      </c>
      <c r="B50" s="1" t="s">
        <v>54</v>
      </c>
      <c r="C50" s="17"/>
      <c r="H50" s="15"/>
      <c r="I50" s="15"/>
    </row>
    <row r="51" spans="1:15" ht="32" x14ac:dyDescent="0.7">
      <c r="A51" s="15"/>
      <c r="B51" s="15"/>
      <c r="C51" s="97" t="s">
        <v>261</v>
      </c>
      <c r="D51" s="95"/>
      <c r="E51" s="95"/>
      <c r="F51" s="95"/>
      <c r="G51" s="95"/>
      <c r="H51" s="95"/>
      <c r="I51" s="95"/>
      <c r="J51" s="95"/>
      <c r="K51" s="95"/>
      <c r="L51" s="96"/>
    </row>
    <row r="52" spans="1:15" x14ac:dyDescent="0.35">
      <c r="A52" s="15"/>
      <c r="B52" s="15"/>
      <c r="C52" s="15" t="s">
        <v>38</v>
      </c>
      <c r="D52" s="4"/>
    </row>
    <row r="53" spans="1:15" x14ac:dyDescent="0.35">
      <c r="C53" s="15" t="s">
        <v>16</v>
      </c>
      <c r="D53" s="15"/>
    </row>
  </sheetData>
  <mergeCells count="1">
    <mergeCell ref="C51:L51"/>
  </mergeCells>
  <pageMargins left="0.7" right="0.7" top="0.75" bottom="0.75" header="0.3" footer="0.3"/>
  <pageSetup paperSize="9" scale="75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V53"/>
  <sheetViews>
    <sheetView topLeftCell="A20" zoomScale="60" workbookViewId="0">
      <selection activeCell="B51" sqref="B51:K51"/>
    </sheetView>
  </sheetViews>
  <sheetFormatPr defaultColWidth="9" defaultRowHeight="14.5" x14ac:dyDescent="0.35"/>
  <cols>
    <col min="1" max="1" width="9.1796875" style="1" customWidth="1"/>
    <col min="2" max="2" width="21.81640625" style="1" customWidth="1"/>
    <col min="3" max="3" width="9.1796875" style="1" customWidth="1"/>
    <col min="4" max="4" width="23.1796875" style="1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hidden="1" customWidth="1"/>
    <col min="10" max="10" width="13.816406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'hse1'!H4+34-1</f>
        <v>20242034</v>
      </c>
      <c r="J4" s="1">
        <f>'hse1'!H4+34-1</f>
        <v>20242034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meter!A36</f>
        <v>SAM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77</v>
      </c>
      <c r="N8" s="1">
        <f t="shared" si="0"/>
        <v>9250</v>
      </c>
      <c r="O8" s="1">
        <v>9250</v>
      </c>
    </row>
    <row r="9" spans="2:15" x14ac:dyDescent="0.35">
      <c r="B9" s="74" t="s">
        <v>221</v>
      </c>
      <c r="D9" s="74" t="s">
        <v>224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meter!D36</f>
        <v>37</v>
      </c>
      <c r="C16" s="8"/>
      <c r="D16" s="8">
        <f>meter!E36</f>
        <v>40</v>
      </c>
      <c r="E16" s="8" t="s">
        <v>19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">
        <f>meter!O36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meter!H36</f>
        <v>660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f>meter!N36</f>
        <v>9000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x14ac:dyDescent="0.35">
      <c r="D28" s="1" t="s">
        <v>52</v>
      </c>
      <c r="E28" s="1" t="s">
        <v>18</v>
      </c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9920</v>
      </c>
      <c r="H30" s="13"/>
      <c r="L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meter!R36</f>
        <v>0</v>
      </c>
      <c r="N32" s="1">
        <f t="shared" si="0"/>
        <v>10750</v>
      </c>
      <c r="O32" s="1">
        <v>10750</v>
      </c>
    </row>
    <row r="33" spans="1:256" x14ac:dyDescent="0.35">
      <c r="F33" s="11"/>
      <c r="N33" s="1">
        <f t="shared" si="0"/>
        <v>11732</v>
      </c>
      <c r="O33" s="1">
        <v>11732</v>
      </c>
    </row>
    <row r="34" spans="1:256" x14ac:dyDescent="0.35">
      <c r="D34" s="1" t="s">
        <v>120</v>
      </c>
      <c r="F34" s="13">
        <f>F30-F32</f>
        <v>9920</v>
      </c>
      <c r="N34" s="1">
        <f t="shared" si="0"/>
        <v>10934</v>
      </c>
      <c r="O34" s="1">
        <v>10934</v>
      </c>
      <c r="R34" s="1">
        <v>700</v>
      </c>
    </row>
    <row r="35" spans="1:256" ht="15.5" x14ac:dyDescent="0.35">
      <c r="C35" s="10" t="s">
        <v>12</v>
      </c>
      <c r="N35" s="1">
        <f t="shared" si="0"/>
        <v>10270</v>
      </c>
      <c r="O35" s="1">
        <v>10270</v>
      </c>
    </row>
    <row r="36" spans="1:256" ht="18.5" x14ac:dyDescent="0.45">
      <c r="A36" s="1" t="s">
        <v>95</v>
      </c>
      <c r="B36" s="14" t="s">
        <v>82</v>
      </c>
      <c r="L36" s="40"/>
      <c r="N36" s="1">
        <f t="shared" si="0"/>
        <v>10598</v>
      </c>
      <c r="O36" s="1">
        <v>10598</v>
      </c>
    </row>
    <row r="37" spans="1:256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256" x14ac:dyDescent="0.35">
      <c r="B38" s="15"/>
      <c r="K38" s="40"/>
      <c r="N38" s="1">
        <f t="shared" si="0"/>
        <v>8770</v>
      </c>
      <c r="O38" s="1">
        <v>8770</v>
      </c>
    </row>
    <row r="39" spans="1:256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256" hidden="1" x14ac:dyDescent="0.35">
      <c r="B40" s="15"/>
    </row>
    <row r="41" spans="1:256" x14ac:dyDescent="0.35">
      <c r="A41" s="1" t="s">
        <v>98</v>
      </c>
      <c r="B41" s="15" t="s">
        <v>81</v>
      </c>
    </row>
    <row r="42" spans="1:256" x14ac:dyDescent="0.35">
      <c r="A42" s="1" t="s">
        <v>99</v>
      </c>
      <c r="B42" s="15" t="s">
        <v>102</v>
      </c>
    </row>
    <row r="43" spans="1:256" x14ac:dyDescent="0.35">
      <c r="A43" s="1" t="s">
        <v>100</v>
      </c>
      <c r="B43" s="4" t="s">
        <v>140</v>
      </c>
    </row>
    <row r="44" spans="1:256" x14ac:dyDescent="0.35">
      <c r="B44" s="4" t="s">
        <v>80</v>
      </c>
      <c r="I44" s="16"/>
    </row>
    <row r="45" spans="1:256" x14ac:dyDescent="0.35">
      <c r="A45" s="16"/>
      <c r="B45" s="4" t="s">
        <v>14</v>
      </c>
      <c r="G45" s="16"/>
      <c r="H45" s="16"/>
    </row>
    <row r="46" spans="1:256" x14ac:dyDescent="0.35">
      <c r="B46" s="4" t="s">
        <v>15</v>
      </c>
    </row>
    <row r="47" spans="1:256" ht="32" x14ac:dyDescent="0.7">
      <c r="B47" s="17" t="s">
        <v>199</v>
      </c>
      <c r="C47" s="18"/>
      <c r="D47" s="18"/>
      <c r="E47" s="18"/>
      <c r="IV47"/>
    </row>
    <row r="48" spans="1:256" x14ac:dyDescent="0.35">
      <c r="B48" s="16" t="s">
        <v>84</v>
      </c>
      <c r="C48" s="16"/>
      <c r="D48" s="16"/>
      <c r="E48" s="16"/>
      <c r="F48" s="16"/>
      <c r="IV48"/>
    </row>
    <row r="49" spans="1:256" x14ac:dyDescent="0.35">
      <c r="A49" s="15"/>
      <c r="B49" s="16" t="s">
        <v>13</v>
      </c>
      <c r="O49" s="1" t="s">
        <v>185</v>
      </c>
      <c r="IV49"/>
    </row>
    <row r="50" spans="1:256" ht="32" x14ac:dyDescent="0.7">
      <c r="A50" s="1" t="s">
        <v>101</v>
      </c>
      <c r="B50" s="17"/>
      <c r="G50" s="15"/>
      <c r="H50" s="15"/>
      <c r="IV50"/>
    </row>
    <row r="51" spans="1:256" ht="32" x14ac:dyDescent="0.7">
      <c r="A51" s="15"/>
      <c r="B51" s="97" t="s">
        <v>262</v>
      </c>
      <c r="C51" s="95"/>
      <c r="D51" s="95"/>
      <c r="E51" s="95"/>
      <c r="F51" s="95"/>
      <c r="G51" s="95"/>
      <c r="H51" s="95"/>
      <c r="I51" s="95"/>
      <c r="J51" s="95"/>
      <c r="K51" s="96"/>
      <c r="IV51"/>
    </row>
    <row r="52" spans="1:256" x14ac:dyDescent="0.35">
      <c r="A52" s="15"/>
      <c r="B52" s="15" t="s">
        <v>38</v>
      </c>
      <c r="C52" s="4"/>
      <c r="IV52"/>
    </row>
    <row r="53" spans="1:256" x14ac:dyDescent="0.35">
      <c r="B53" s="15" t="s">
        <v>16</v>
      </c>
      <c r="C53" s="15"/>
      <c r="IV53"/>
    </row>
  </sheetData>
  <mergeCells count="1">
    <mergeCell ref="B51:K51"/>
  </mergeCells>
  <pageMargins left="0.7" right="0.7" top="0.75" bottom="0.75" header="0.3" footer="0.3"/>
  <pageSetup paperSize="9" scale="63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V53"/>
  <sheetViews>
    <sheetView topLeftCell="A18" zoomScale="55" workbookViewId="0">
      <selection activeCell="L63" sqref="L63"/>
    </sheetView>
  </sheetViews>
  <sheetFormatPr defaultColWidth="9" defaultRowHeight="14.5" x14ac:dyDescent="0.35"/>
  <cols>
    <col min="1" max="1" width="9.1796875" style="1" customWidth="1"/>
    <col min="2" max="2" width="19.81640625" style="1" customWidth="1"/>
    <col min="3" max="3" width="0.54296875" style="1" customWidth="1"/>
    <col min="4" max="4" width="19.81640625" style="1" customWidth="1"/>
    <col min="5" max="5" width="13.1796875" style="1" customWidth="1"/>
    <col min="6" max="6" width="15.1796875" style="1" customWidth="1"/>
    <col min="7" max="7" width="5.26953125" style="1" customWidth="1"/>
    <col min="8" max="8" width="9.1796875" style="1" customWidth="1"/>
    <col min="9" max="9" width="13.1796875" style="1" customWidth="1"/>
    <col min="10" max="10" width="18.72656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144</v>
      </c>
    </row>
    <row r="2" spans="2:15" x14ac:dyDescent="0.35">
      <c r="B2" s="1" t="str">
        <f>'hse1'!B3</f>
        <v>P.O BOX 9473-00200 NAIROBI</v>
      </c>
      <c r="N2" s="1" t="s">
        <v>160</v>
      </c>
      <c r="O2" s="1" t="s">
        <v>159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'hse1'!H4+35-1</f>
        <v>20242035</v>
      </c>
      <c r="J4" s="1">
        <f>'hse1'!H4+35-1</f>
        <v>20242035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meter!A37</f>
        <v>TIMOTHY</v>
      </c>
      <c r="N6" s="1">
        <f t="shared" si="0"/>
        <v>11070</v>
      </c>
      <c r="O6" s="1">
        <v>11070</v>
      </c>
    </row>
    <row r="7" spans="2:15" x14ac:dyDescent="0.35">
      <c r="B7" s="74" t="s">
        <v>221</v>
      </c>
      <c r="D7" s="74" t="s">
        <v>223</v>
      </c>
      <c r="N7" s="1">
        <f t="shared" si="0"/>
        <v>1197</v>
      </c>
      <c r="O7" s="1">
        <v>1197</v>
      </c>
    </row>
    <row r="8" spans="2:15" x14ac:dyDescent="0.35">
      <c r="B8" s="1" t="s">
        <v>86</v>
      </c>
      <c r="D8" s="1" t="s">
        <v>78</v>
      </c>
      <c r="N8" s="1">
        <f t="shared" si="0"/>
        <v>9250</v>
      </c>
      <c r="O8" s="1">
        <v>9250</v>
      </c>
    </row>
    <row r="9" spans="2:15" x14ac:dyDescent="0.35">
      <c r="D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73" t="str">
        <f>'hse1'!C10</f>
        <v>27/1/2026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73">
        <f>'hse1'!C12</f>
        <v>46144</v>
      </c>
      <c r="N12" s="1">
        <f t="shared" si="0"/>
        <v>10910</v>
      </c>
      <c r="O12" s="1">
        <v>10910</v>
      </c>
    </row>
    <row r="13" spans="2:15" x14ac:dyDescent="0.35">
      <c r="C13" s="1" t="s">
        <v>54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meter!D37</f>
        <v>182</v>
      </c>
      <c r="C16" s="8"/>
      <c r="D16" s="8">
        <f>meter!E37</f>
        <v>184</v>
      </c>
      <c r="E16" s="8" t="s">
        <v>19</v>
      </c>
      <c r="F16" s="9">
        <f>D16-B16</f>
        <v>2</v>
      </c>
      <c r="H16" s="1" t="s">
        <v>142</v>
      </c>
      <c r="N16" s="1">
        <f t="shared" si="0"/>
        <v>9420</v>
      </c>
      <c r="O16" s="1">
        <v>9420</v>
      </c>
    </row>
    <row r="17" spans="2:15" x14ac:dyDescent="0.35">
      <c r="F17" s="1" t="s">
        <v>91</v>
      </c>
      <c r="N17" s="1">
        <f t="shared" si="0"/>
        <v>11154</v>
      </c>
      <c r="O17" s="1">
        <v>11154</v>
      </c>
    </row>
    <row r="18" spans="2:15" x14ac:dyDescent="0.35">
      <c r="D18" s="1" t="s">
        <v>40</v>
      </c>
      <c r="E18" s="1" t="s">
        <v>31</v>
      </c>
      <c r="F18" s="11">
        <f>meter!O37</f>
        <v>677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18</v>
      </c>
      <c r="F20" s="1">
        <f>meter!H37</f>
        <v>440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113</v>
      </c>
      <c r="E22" s="1" t="s">
        <v>18</v>
      </c>
      <c r="F22" s="1">
        <f>'hse1'!E22</f>
        <v>110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34</v>
      </c>
      <c r="E24" s="1" t="s">
        <v>18</v>
      </c>
      <c r="F24" s="11">
        <v>8500</v>
      </c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 t="s">
        <v>170</v>
      </c>
      <c r="E27" s="12" t="s">
        <v>31</v>
      </c>
      <c r="F27" s="11">
        <v>150</v>
      </c>
      <c r="N27" s="1">
        <f t="shared" si="0"/>
        <v>11393</v>
      </c>
      <c r="O27" s="1">
        <v>11393</v>
      </c>
    </row>
    <row r="28" spans="2:15" s="1" customFormat="1" x14ac:dyDescent="0.35">
      <c r="D28" s="1" t="s">
        <v>10</v>
      </c>
      <c r="E28" s="1" t="s">
        <v>18</v>
      </c>
      <c r="F28" s="11">
        <f>IF(F18*4%*1&lt;0,0,F18*4%*1)</f>
        <v>27.080000000000002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54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31</v>
      </c>
      <c r="F30" s="11">
        <f>SUM(F17:F29)</f>
        <v>9904.08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43</v>
      </c>
      <c r="F32" s="11">
        <f>meter!R37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120</v>
      </c>
      <c r="F34" s="13">
        <f>F30-F32</f>
        <v>9904.08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95</v>
      </c>
      <c r="B36" s="14" t="s">
        <v>82</v>
      </c>
      <c r="N36" s="1">
        <f t="shared" si="0"/>
        <v>10598</v>
      </c>
      <c r="O36" s="1">
        <v>10598</v>
      </c>
    </row>
    <row r="37" spans="1:18" x14ac:dyDescent="0.35">
      <c r="A37" s="1" t="s">
        <v>96</v>
      </c>
      <c r="B37" s="15" t="s">
        <v>146</v>
      </c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97</v>
      </c>
      <c r="B39" s="15" t="s">
        <v>83</v>
      </c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98</v>
      </c>
      <c r="B41" s="15" t="s">
        <v>81</v>
      </c>
    </row>
    <row r="42" spans="1:18" x14ac:dyDescent="0.35">
      <c r="A42" s="1" t="s">
        <v>99</v>
      </c>
      <c r="B42" s="15" t="s">
        <v>102</v>
      </c>
    </row>
    <row r="43" spans="1:18" x14ac:dyDescent="0.35">
      <c r="A43" s="1" t="s">
        <v>100</v>
      </c>
      <c r="B43" s="4" t="s">
        <v>140</v>
      </c>
    </row>
    <row r="44" spans="1:18" x14ac:dyDescent="0.35">
      <c r="B44" s="4" t="s">
        <v>80</v>
      </c>
      <c r="I44" s="41"/>
    </row>
    <row r="45" spans="1:18" x14ac:dyDescent="0.35">
      <c r="A45" s="16"/>
      <c r="B45" s="4" t="s">
        <v>14</v>
      </c>
      <c r="G45" s="16"/>
      <c r="H45" s="16"/>
    </row>
    <row r="46" spans="1:18" x14ac:dyDescent="0.35">
      <c r="B46" s="4" t="s">
        <v>15</v>
      </c>
    </row>
    <row r="47" spans="1:18" ht="32" x14ac:dyDescent="0.7">
      <c r="B47" s="17" t="s">
        <v>199</v>
      </c>
      <c r="C47" s="18"/>
      <c r="D47" s="18"/>
      <c r="E47" s="18"/>
    </row>
    <row r="48" spans="1:18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" t="s">
        <v>101</v>
      </c>
      <c r="B50" s="17"/>
      <c r="G50" s="15"/>
      <c r="H50" s="15"/>
    </row>
    <row r="51" spans="1:15" ht="32" x14ac:dyDescent="0.7">
      <c r="A51" s="15"/>
      <c r="B51" s="97" t="s">
        <v>263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 t="s">
        <v>38</v>
      </c>
      <c r="C52" s="4"/>
    </row>
    <row r="53" spans="1:15" x14ac:dyDescent="0.35"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72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V53"/>
  <sheetViews>
    <sheetView zoomScale="55" workbookViewId="0">
      <selection activeCell="I61" sqref="I61"/>
    </sheetView>
  </sheetViews>
  <sheetFormatPr defaultColWidth="9" defaultRowHeight="14.5" x14ac:dyDescent="0.35"/>
  <cols>
    <col min="1" max="1" width="9.1796875" style="1" customWidth="1"/>
    <col min="2" max="2" width="15.26953125" style="1" customWidth="1"/>
    <col min="3" max="3" width="9.1796875" style="1" customWidth="1"/>
    <col min="4" max="4" width="16.7265625" style="1" customWidth="1"/>
    <col min="5" max="8" width="9.1796875" style="1" customWidth="1"/>
    <col min="9" max="9" width="14.54296875" style="1" customWidth="1"/>
    <col min="10" max="11" width="9.1796875" style="1" hidden="1" customWidth="1"/>
    <col min="12" max="17" width="9.1796875" style="1" customWidth="1"/>
    <col min="18" max="18" width="0" style="1" hidden="1"/>
    <col min="19" max="256" width="9.1796875" style="1" customWidth="1"/>
  </cols>
  <sheetData>
    <row r="1" spans="2:9" ht="23.5" x14ac:dyDescent="0.55000000000000004">
      <c r="B1" s="2" t="s">
        <v>144</v>
      </c>
    </row>
    <row r="2" spans="2:9" x14ac:dyDescent="0.35">
      <c r="B2" s="1" t="str">
        <f>'hse1'!B3</f>
        <v>P.O BOX 9473-00200 NAIROBI</v>
      </c>
    </row>
    <row r="3" spans="2:9" ht="18.5" x14ac:dyDescent="0.45">
      <c r="B3" s="3" t="s">
        <v>0</v>
      </c>
    </row>
    <row r="4" spans="2:9" x14ac:dyDescent="0.35">
      <c r="H4" s="1" t="s">
        <v>6</v>
      </c>
      <c r="I4" s="1">
        <f>'hse1'!H4+37-1</f>
        <v>20242037</v>
      </c>
    </row>
    <row r="6" spans="2:9" x14ac:dyDescent="0.35">
      <c r="B6" s="1" t="s">
        <v>7</v>
      </c>
      <c r="D6" s="4" t="str">
        <f>meter!A38</f>
        <v>SAMWEL MUGO</v>
      </c>
    </row>
    <row r="7" spans="2:9" x14ac:dyDescent="0.35">
      <c r="B7" s="74" t="s">
        <v>221</v>
      </c>
      <c r="D7" s="74" t="s">
        <v>222</v>
      </c>
    </row>
    <row r="8" spans="2:9" x14ac:dyDescent="0.35">
      <c r="B8" s="1" t="s">
        <v>86</v>
      </c>
      <c r="D8" s="1" t="s">
        <v>137</v>
      </c>
    </row>
    <row r="9" spans="2:9" x14ac:dyDescent="0.35">
      <c r="D9" s="22"/>
    </row>
    <row r="10" spans="2:9" x14ac:dyDescent="0.35">
      <c r="B10" s="1" t="s">
        <v>1</v>
      </c>
      <c r="D10" s="5" t="str">
        <f>'hse1'!C10</f>
        <v>27/1/2026</v>
      </c>
    </row>
    <row r="12" spans="2:9" x14ac:dyDescent="0.35">
      <c r="B12" s="1" t="s">
        <v>2</v>
      </c>
      <c r="D12" s="73">
        <f>'hse1'!C12</f>
        <v>46144</v>
      </c>
    </row>
    <row r="13" spans="2:9" x14ac:dyDescent="0.35">
      <c r="C13" s="1" t="s">
        <v>54</v>
      </c>
    </row>
    <row r="15" spans="2:9" ht="29" x14ac:dyDescent="0.35">
      <c r="B15" s="7" t="s">
        <v>3</v>
      </c>
      <c r="D15" s="7" t="s">
        <v>4</v>
      </c>
      <c r="F15" s="1" t="s">
        <v>5</v>
      </c>
    </row>
    <row r="16" spans="2:9" x14ac:dyDescent="0.35">
      <c r="B16" s="8">
        <f>meter!D38</f>
        <v>154</v>
      </c>
      <c r="C16" s="8"/>
      <c r="D16" s="8">
        <f>meter!E38</f>
        <v>154</v>
      </c>
      <c r="E16" s="8" t="s">
        <v>19</v>
      </c>
      <c r="F16" s="9">
        <f>D16-B16</f>
        <v>0</v>
      </c>
    </row>
    <row r="17" spans="2:8" x14ac:dyDescent="0.35">
      <c r="F17" s="1" t="s">
        <v>91</v>
      </c>
    </row>
    <row r="18" spans="2:8" x14ac:dyDescent="0.35">
      <c r="D18" s="1" t="s">
        <v>40</v>
      </c>
      <c r="E18" s="1" t="s">
        <v>31</v>
      </c>
      <c r="F18" s="11"/>
    </row>
    <row r="19" spans="2:8" ht="15.5" x14ac:dyDescent="0.35">
      <c r="B19" s="10"/>
    </row>
    <row r="20" spans="2:8" x14ac:dyDescent="0.35">
      <c r="D20" s="1" t="s">
        <v>9</v>
      </c>
      <c r="E20" s="1" t="s">
        <v>18</v>
      </c>
      <c r="F20" s="1">
        <f>meter!H38</f>
        <v>0</v>
      </c>
    </row>
    <row r="22" spans="2:8" x14ac:dyDescent="0.35">
      <c r="D22" s="1" t="s">
        <v>113</v>
      </c>
      <c r="E22" s="1" t="s">
        <v>18</v>
      </c>
      <c r="F22" s="1">
        <f>'hse1'!E22</f>
        <v>110</v>
      </c>
    </row>
    <row r="24" spans="2:8" x14ac:dyDescent="0.35">
      <c r="D24" s="1" t="s">
        <v>34</v>
      </c>
      <c r="E24" s="1" t="s">
        <v>18</v>
      </c>
      <c r="F24" s="11">
        <f>meter!N38</f>
        <v>9000</v>
      </c>
    </row>
    <row r="25" spans="2:8" x14ac:dyDescent="0.35">
      <c r="F25" s="11"/>
    </row>
    <row r="27" spans="2:8" x14ac:dyDescent="0.35">
      <c r="D27" s="12" t="s">
        <v>170</v>
      </c>
      <c r="E27" s="12" t="s">
        <v>31</v>
      </c>
      <c r="F27" s="11">
        <v>150</v>
      </c>
    </row>
    <row r="28" spans="2:8" x14ac:dyDescent="0.35">
      <c r="D28" s="1" t="s">
        <v>125</v>
      </c>
      <c r="E28" s="1" t="s">
        <v>18</v>
      </c>
      <c r="F28" s="11">
        <f>IF(F18*4%*1&lt;0,0,F18*4%*1)</f>
        <v>0</v>
      </c>
    </row>
    <row r="29" spans="2:8" x14ac:dyDescent="0.35">
      <c r="F29" s="11"/>
    </row>
    <row r="30" spans="2:8" x14ac:dyDescent="0.35">
      <c r="D30" s="1" t="s">
        <v>11</v>
      </c>
      <c r="E30" s="1" t="s">
        <v>31</v>
      </c>
      <c r="F30" s="11">
        <f>SUM(F17:F29)</f>
        <v>9260</v>
      </c>
      <c r="H30" s="13"/>
    </row>
    <row r="31" spans="2:8" x14ac:dyDescent="0.35">
      <c r="F31" s="11"/>
    </row>
    <row r="32" spans="2:8" x14ac:dyDescent="0.35">
      <c r="D32" s="1" t="s">
        <v>43</v>
      </c>
      <c r="F32" s="11">
        <f>meter!R37</f>
        <v>0</v>
      </c>
    </row>
    <row r="33" spans="1:17" x14ac:dyDescent="0.35">
      <c r="F33" s="11"/>
    </row>
    <row r="34" spans="1:17" x14ac:dyDescent="0.35">
      <c r="D34" s="1" t="s">
        <v>120</v>
      </c>
      <c r="F34" s="13">
        <f>F30-F32</f>
        <v>9260</v>
      </c>
    </row>
    <row r="35" spans="1:17" ht="15.5" x14ac:dyDescent="0.35">
      <c r="C35" s="10" t="s">
        <v>12</v>
      </c>
    </row>
    <row r="36" spans="1:17" ht="18.5" x14ac:dyDescent="0.45">
      <c r="A36" s="1" t="s">
        <v>95</v>
      </c>
      <c r="B36" s="14" t="s">
        <v>82</v>
      </c>
    </row>
    <row r="37" spans="1:17" x14ac:dyDescent="0.35">
      <c r="A37" s="1" t="s">
        <v>96</v>
      </c>
      <c r="B37" s="15" t="s">
        <v>146</v>
      </c>
    </row>
    <row r="38" spans="1:17" x14ac:dyDescent="0.35">
      <c r="B38" s="15"/>
    </row>
    <row r="39" spans="1:17" x14ac:dyDescent="0.35">
      <c r="A39" s="1" t="s">
        <v>97</v>
      </c>
      <c r="B39" s="15" t="s">
        <v>83</v>
      </c>
      <c r="Q39" s="1">
        <f>SUM(Q3:Q38)</f>
        <v>0</v>
      </c>
    </row>
    <row r="40" spans="1:17" hidden="1" x14ac:dyDescent="0.35">
      <c r="B40" s="15"/>
    </row>
    <row r="41" spans="1:17" x14ac:dyDescent="0.35">
      <c r="A41" s="1" t="s">
        <v>98</v>
      </c>
      <c r="B41" s="15" t="s">
        <v>81</v>
      </c>
    </row>
    <row r="42" spans="1:17" x14ac:dyDescent="0.35">
      <c r="A42" s="1" t="s">
        <v>99</v>
      </c>
      <c r="B42" s="15" t="s">
        <v>102</v>
      </c>
    </row>
    <row r="43" spans="1:17" x14ac:dyDescent="0.35">
      <c r="A43" s="1" t="s">
        <v>100</v>
      </c>
      <c r="B43" s="4" t="s">
        <v>140</v>
      </c>
    </row>
    <row r="44" spans="1:17" x14ac:dyDescent="0.35">
      <c r="B44" s="4" t="s">
        <v>80</v>
      </c>
      <c r="I44" s="41"/>
    </row>
    <row r="45" spans="1:17" x14ac:dyDescent="0.35">
      <c r="A45" s="16"/>
      <c r="B45" s="4" t="s">
        <v>14</v>
      </c>
      <c r="G45" s="16"/>
      <c r="H45" s="16"/>
    </row>
    <row r="46" spans="1:17" x14ac:dyDescent="0.35">
      <c r="B46" s="4" t="s">
        <v>15</v>
      </c>
    </row>
    <row r="47" spans="1:17" ht="32" x14ac:dyDescent="0.7">
      <c r="B47" s="87" t="s">
        <v>212</v>
      </c>
      <c r="C47" s="18"/>
      <c r="D47" s="18"/>
      <c r="E47" s="18"/>
    </row>
    <row r="48" spans="1:17" x14ac:dyDescent="0.35">
      <c r="B48" s="16" t="s">
        <v>84</v>
      </c>
      <c r="C48" s="16"/>
      <c r="D48" s="16"/>
      <c r="E48" s="16"/>
      <c r="F48" s="16"/>
    </row>
    <row r="49" spans="1:15" x14ac:dyDescent="0.35">
      <c r="A49" s="15"/>
      <c r="B49" s="16" t="s">
        <v>13</v>
      </c>
      <c r="O49" s="1" t="s">
        <v>185</v>
      </c>
    </row>
    <row r="50" spans="1:15" ht="32" x14ac:dyDescent="0.7">
      <c r="A50" s="1" t="s">
        <v>101</v>
      </c>
      <c r="B50" s="17"/>
      <c r="G50" s="15"/>
      <c r="H50" s="15"/>
    </row>
    <row r="51" spans="1:15" ht="32" x14ac:dyDescent="0.7">
      <c r="B51" s="97" t="s">
        <v>264</v>
      </c>
      <c r="C51" s="95"/>
      <c r="D51" s="95"/>
      <c r="E51" s="95"/>
      <c r="F51" s="95"/>
      <c r="G51" s="95"/>
      <c r="H51" s="95"/>
      <c r="I51" s="95"/>
      <c r="J51" s="95"/>
      <c r="K51" s="96"/>
    </row>
    <row r="52" spans="1:15" x14ac:dyDescent="0.35">
      <c r="A52" s="15"/>
      <c r="B52" s="15"/>
      <c r="C52" s="4"/>
    </row>
    <row r="53" spans="1:15" x14ac:dyDescent="0.35">
      <c r="A53" s="15"/>
      <c r="B53" s="15" t="s">
        <v>16</v>
      </c>
      <c r="C53" s="15"/>
    </row>
  </sheetData>
  <mergeCells count="1">
    <mergeCell ref="B51:K51"/>
  </mergeCells>
  <pageMargins left="0.7" right="0.7" top="0.75" bottom="0.75" header="0.3" footer="0.3"/>
  <pageSetup paperSize="9" scale="53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U67"/>
  <sheetViews>
    <sheetView tabSelected="1" topLeftCell="A14" zoomScale="55" workbookViewId="0">
      <selection activeCell="O41" sqref="O41"/>
    </sheetView>
  </sheetViews>
  <sheetFormatPr defaultColWidth="9" defaultRowHeight="21" x14ac:dyDescent="0.5"/>
  <cols>
    <col min="1" max="1" width="36.81640625" style="46" customWidth="1"/>
    <col min="2" max="2" width="9.453125" style="46" customWidth="1"/>
    <col min="3" max="3" width="12.54296875" style="46" customWidth="1"/>
    <col min="4" max="5" width="19.26953125" style="46" customWidth="1"/>
    <col min="6" max="6" width="16.54296875" style="46" customWidth="1"/>
    <col min="7" max="7" width="11.81640625" style="46" customWidth="1"/>
    <col min="8" max="9" width="20.1796875" style="47" customWidth="1"/>
    <col min="10" max="10" width="14.54296875" style="46" customWidth="1"/>
    <col min="11" max="12" width="21.26953125" style="46" customWidth="1"/>
    <col min="13" max="13" width="14.81640625" style="46" customWidth="1"/>
    <col min="14" max="14" width="20.54296875" style="46" customWidth="1"/>
    <col min="15" max="15" width="15.1796875" style="46" customWidth="1"/>
    <col min="16" max="16" width="21.54296875" style="46" customWidth="1"/>
    <col min="17" max="17" width="17.7265625" style="46" customWidth="1"/>
    <col min="18" max="18" width="9" style="46" hidden="1" customWidth="1"/>
    <col min="19" max="19" width="18" style="46" hidden="1" customWidth="1"/>
    <col min="20" max="20" width="32.1796875" style="46" hidden="1" customWidth="1"/>
    <col min="21" max="21" width="9" style="46" hidden="1" customWidth="1"/>
    <col min="22" max="22" width="12.7265625" style="46" customWidth="1"/>
    <col min="23" max="23" width="17.1796875" style="47" customWidth="1"/>
    <col min="24" max="24" width="23.7265625" style="46" customWidth="1"/>
    <col min="25" max="255" width="9" style="46" customWidth="1"/>
    <col min="256" max="16384" width="9" style="48"/>
  </cols>
  <sheetData>
    <row r="1" spans="1:30" x14ac:dyDescent="0.5">
      <c r="A1" s="49"/>
      <c r="B1" s="49"/>
      <c r="C1" s="49"/>
      <c r="D1" s="49"/>
      <c r="E1" s="49"/>
      <c r="F1" s="49"/>
      <c r="G1" s="49"/>
      <c r="H1" s="51"/>
      <c r="I1" s="5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51"/>
      <c r="X1" s="49"/>
      <c r="Y1" s="49"/>
    </row>
    <row r="2" spans="1:30" s="52" customFormat="1" x14ac:dyDescent="0.5">
      <c r="A2" s="50" t="s">
        <v>129</v>
      </c>
      <c r="B2" s="50" t="s">
        <v>49</v>
      </c>
      <c r="C2" s="50" t="s">
        <v>45</v>
      </c>
      <c r="D2" s="50" t="s">
        <v>46</v>
      </c>
      <c r="E2" s="50" t="s">
        <v>47</v>
      </c>
      <c r="F2" s="50" t="s">
        <v>48</v>
      </c>
      <c r="G2" s="50" t="s">
        <v>51</v>
      </c>
      <c r="H2" s="53" t="s">
        <v>166</v>
      </c>
      <c r="I2" s="53" t="s">
        <v>182</v>
      </c>
      <c r="J2" s="50" t="s">
        <v>50</v>
      </c>
      <c r="K2" s="50" t="s">
        <v>56</v>
      </c>
      <c r="L2" s="50" t="s">
        <v>170</v>
      </c>
      <c r="M2" s="50"/>
      <c r="N2" s="50" t="s">
        <v>41</v>
      </c>
      <c r="O2" s="50" t="s">
        <v>118</v>
      </c>
      <c r="P2" s="50" t="s">
        <v>123</v>
      </c>
      <c r="Q2" s="50" t="s">
        <v>42</v>
      </c>
      <c r="R2" s="50" t="s">
        <v>43</v>
      </c>
      <c r="S2" s="50" t="s">
        <v>117</v>
      </c>
      <c r="T2" s="50" t="s">
        <v>154</v>
      </c>
      <c r="U2" s="50" t="s">
        <v>114</v>
      </c>
      <c r="V2" s="50" t="s">
        <v>178</v>
      </c>
      <c r="W2" s="53"/>
      <c r="X2" s="50"/>
      <c r="Y2" s="53"/>
      <c r="Z2" s="54"/>
      <c r="AA2" s="54"/>
      <c r="AB2" s="54"/>
    </row>
    <row r="3" spans="1:30" s="46" customFormat="1" x14ac:dyDescent="0.5">
      <c r="A3" s="55" t="s">
        <v>207</v>
      </c>
      <c r="B3" s="49" t="s">
        <v>30</v>
      </c>
      <c r="C3" s="56">
        <v>46054</v>
      </c>
      <c r="D3" s="57">
        <v>32</v>
      </c>
      <c r="E3" s="57">
        <v>33</v>
      </c>
      <c r="F3" s="49">
        <f>E3-D3</f>
        <v>1</v>
      </c>
      <c r="G3" s="49">
        <v>220</v>
      </c>
      <c r="H3" s="51">
        <f t="shared" ref="H3:H38" si="0">F3*G3</f>
        <v>220</v>
      </c>
      <c r="I3" s="51">
        <v>1200</v>
      </c>
      <c r="J3" s="49">
        <v>110</v>
      </c>
      <c r="K3" s="51">
        <f t="shared" ref="K3:K38" si="1">H3+J3</f>
        <v>330</v>
      </c>
      <c r="L3" s="51">
        <v>150</v>
      </c>
      <c r="M3" s="51">
        <v>0</v>
      </c>
      <c r="N3" s="55">
        <f>9500+500</f>
        <v>10000</v>
      </c>
      <c r="O3" s="58">
        <v>1000</v>
      </c>
      <c r="P3" s="51">
        <f>'hse1'!E28</f>
        <v>0</v>
      </c>
      <c r="Q3" s="51">
        <f t="shared" ref="Q3:Q38" si="2">K3+L3+M3+N3+O3+P3</f>
        <v>11480</v>
      </c>
      <c r="R3" s="51">
        <v>0</v>
      </c>
      <c r="S3" s="51">
        <f t="shared" ref="S3:S37" si="3">Q3-R3</f>
        <v>11480</v>
      </c>
      <c r="T3" s="51"/>
      <c r="U3" s="49"/>
      <c r="V3" s="49">
        <v>1</v>
      </c>
      <c r="W3" s="51">
        <v>10700</v>
      </c>
      <c r="X3" s="59"/>
      <c r="Y3" s="51"/>
      <c r="Z3" s="47"/>
      <c r="AA3" s="47"/>
      <c r="AB3" s="47"/>
    </row>
    <row r="4" spans="1:30" x14ac:dyDescent="0.5">
      <c r="A4" s="49" t="s">
        <v>183</v>
      </c>
      <c r="B4" s="49" t="s">
        <v>36</v>
      </c>
      <c r="C4" s="56">
        <f>SUM(C3)</f>
        <v>46054</v>
      </c>
      <c r="D4" s="57">
        <v>229</v>
      </c>
      <c r="E4" s="57">
        <v>232</v>
      </c>
      <c r="F4" s="49">
        <f t="shared" ref="F4:F38" si="4">E4-D4</f>
        <v>3</v>
      </c>
      <c r="G4" s="49">
        <v>220</v>
      </c>
      <c r="H4" s="51">
        <f t="shared" si="0"/>
        <v>660</v>
      </c>
      <c r="I4" s="51">
        <v>1200</v>
      </c>
      <c r="J4" s="49">
        <v>110</v>
      </c>
      <c r="K4" s="51">
        <f t="shared" si="1"/>
        <v>770</v>
      </c>
      <c r="L4" s="51">
        <v>150</v>
      </c>
      <c r="M4" s="51">
        <v>0</v>
      </c>
      <c r="N4" s="55">
        <f>9500+500</f>
        <v>10000</v>
      </c>
      <c r="O4" s="58">
        <v>0</v>
      </c>
      <c r="P4" s="51">
        <f>'hse1'!E29</f>
        <v>0</v>
      </c>
      <c r="Q4" s="51">
        <f t="shared" si="2"/>
        <v>10920</v>
      </c>
      <c r="R4" s="51">
        <v>0</v>
      </c>
      <c r="S4" s="51">
        <f t="shared" si="3"/>
        <v>10920</v>
      </c>
      <c r="T4" s="51"/>
      <c r="U4" s="49"/>
      <c r="V4" s="49">
        <v>2</v>
      </c>
      <c r="W4" s="51">
        <v>11800</v>
      </c>
      <c r="X4" s="59">
        <f t="shared" ref="X4:X38" si="5">W4-Q4</f>
        <v>880</v>
      </c>
      <c r="Y4" s="51"/>
      <c r="Z4" s="47"/>
      <c r="AA4" s="47"/>
      <c r="AB4" s="47"/>
    </row>
    <row r="5" spans="1:30" s="46" customFormat="1" x14ac:dyDescent="0.5">
      <c r="A5" s="49" t="s">
        <v>176</v>
      </c>
      <c r="B5" s="49" t="s">
        <v>35</v>
      </c>
      <c r="C5" s="56">
        <f t="shared" ref="C5:C38" si="6">SUM(C4)</f>
        <v>46054</v>
      </c>
      <c r="D5" s="57">
        <v>845</v>
      </c>
      <c r="E5" s="57">
        <v>847</v>
      </c>
      <c r="F5" s="49">
        <f t="shared" si="4"/>
        <v>2</v>
      </c>
      <c r="G5" s="49">
        <v>220</v>
      </c>
      <c r="H5" s="51">
        <f t="shared" si="0"/>
        <v>440</v>
      </c>
      <c r="I5" s="51">
        <v>600</v>
      </c>
      <c r="J5" s="49">
        <v>110</v>
      </c>
      <c r="K5" s="51">
        <f t="shared" si="1"/>
        <v>550</v>
      </c>
      <c r="L5" s="51">
        <v>150</v>
      </c>
      <c r="M5" s="51">
        <v>0</v>
      </c>
      <c r="N5" s="55">
        <f>10000+500</f>
        <v>10500</v>
      </c>
      <c r="O5" s="58">
        <v>2450</v>
      </c>
      <c r="P5" s="51"/>
      <c r="Q5" s="51">
        <f t="shared" si="2"/>
        <v>13650</v>
      </c>
      <c r="R5" s="51">
        <v>0</v>
      </c>
      <c r="S5" s="51">
        <f t="shared" si="3"/>
        <v>13650</v>
      </c>
      <c r="T5" s="51"/>
      <c r="U5" s="49"/>
      <c r="V5" s="49">
        <v>3</v>
      </c>
      <c r="W5" s="51">
        <v>11640</v>
      </c>
      <c r="X5" s="59">
        <f t="shared" si="5"/>
        <v>-2010</v>
      </c>
      <c r="Y5" s="51"/>
      <c r="Z5" s="47"/>
      <c r="AA5" s="47"/>
      <c r="AB5" s="47"/>
    </row>
    <row r="6" spans="1:30" x14ac:dyDescent="0.5">
      <c r="A6" s="49" t="s">
        <v>179</v>
      </c>
      <c r="B6" s="49" t="s">
        <v>17</v>
      </c>
      <c r="C6" s="56">
        <f t="shared" si="6"/>
        <v>46054</v>
      </c>
      <c r="D6" s="57">
        <v>721</v>
      </c>
      <c r="E6" s="57">
        <v>724</v>
      </c>
      <c r="F6" s="49">
        <f t="shared" si="4"/>
        <v>3</v>
      </c>
      <c r="G6" s="49">
        <v>220</v>
      </c>
      <c r="H6" s="51">
        <f>F6*G6</f>
        <v>660</v>
      </c>
      <c r="I6" s="51">
        <v>400</v>
      </c>
      <c r="J6" s="49">
        <v>110</v>
      </c>
      <c r="K6" s="51">
        <f t="shared" si="1"/>
        <v>770</v>
      </c>
      <c r="L6" s="51">
        <v>150</v>
      </c>
      <c r="M6" s="51">
        <v>0</v>
      </c>
      <c r="N6" s="55">
        <f>9500+500</f>
        <v>10000</v>
      </c>
      <c r="O6" s="58">
        <v>5250</v>
      </c>
      <c r="P6" s="51">
        <f>'hse1'!E31</f>
        <v>0</v>
      </c>
      <c r="Q6" s="51">
        <f t="shared" si="2"/>
        <v>16170</v>
      </c>
      <c r="R6" s="51">
        <v>0</v>
      </c>
      <c r="S6" s="51">
        <f t="shared" si="3"/>
        <v>16170</v>
      </c>
      <c r="T6" s="51"/>
      <c r="U6" s="49"/>
      <c r="V6" s="49">
        <v>4</v>
      </c>
      <c r="W6" s="51">
        <v>10700</v>
      </c>
      <c r="X6" s="59">
        <f t="shared" si="5"/>
        <v>-5470</v>
      </c>
      <c r="Y6" s="51"/>
      <c r="Z6" s="47"/>
      <c r="AA6" s="47"/>
      <c r="AB6" s="47"/>
    </row>
    <row r="7" spans="1:30" s="60" customFormat="1" x14ac:dyDescent="0.5">
      <c r="A7" s="49" t="s">
        <v>180</v>
      </c>
      <c r="B7" s="49" t="s">
        <v>37</v>
      </c>
      <c r="C7" s="56">
        <f t="shared" si="6"/>
        <v>46054</v>
      </c>
      <c r="D7" s="57">
        <v>125</v>
      </c>
      <c r="E7" s="57">
        <v>126</v>
      </c>
      <c r="F7" s="49">
        <f t="shared" si="4"/>
        <v>1</v>
      </c>
      <c r="G7" s="49">
        <v>220</v>
      </c>
      <c r="H7" s="51">
        <v>0</v>
      </c>
      <c r="I7" s="51">
        <v>1600</v>
      </c>
      <c r="J7" s="49">
        <v>110</v>
      </c>
      <c r="K7" s="51">
        <f t="shared" si="1"/>
        <v>110</v>
      </c>
      <c r="L7" s="51">
        <v>150</v>
      </c>
      <c r="M7" s="51">
        <v>0</v>
      </c>
      <c r="N7" s="55">
        <v>500</v>
      </c>
      <c r="O7" s="58"/>
      <c r="P7" s="51">
        <f>'hse1'!E32</f>
        <v>0</v>
      </c>
      <c r="Q7" s="51">
        <f t="shared" si="2"/>
        <v>760</v>
      </c>
      <c r="R7" s="51">
        <v>0</v>
      </c>
      <c r="S7" s="51">
        <f t="shared" si="3"/>
        <v>760</v>
      </c>
      <c r="T7" s="51"/>
      <c r="U7" s="49"/>
      <c r="V7" s="49">
        <v>5</v>
      </c>
      <c r="W7" s="51">
        <v>2300</v>
      </c>
      <c r="X7" s="59">
        <f t="shared" si="5"/>
        <v>1540</v>
      </c>
      <c r="Y7" s="49"/>
    </row>
    <row r="8" spans="1:30" x14ac:dyDescent="0.5">
      <c r="A8" s="88" t="s">
        <v>209</v>
      </c>
      <c r="B8" s="49" t="s">
        <v>21</v>
      </c>
      <c r="C8" s="56">
        <f t="shared" si="6"/>
        <v>46054</v>
      </c>
      <c r="D8" s="57">
        <v>450</v>
      </c>
      <c r="E8" s="57">
        <v>450</v>
      </c>
      <c r="F8" s="49">
        <f t="shared" si="4"/>
        <v>0</v>
      </c>
      <c r="G8" s="49">
        <v>220</v>
      </c>
      <c r="H8" s="51">
        <f t="shared" si="0"/>
        <v>0</v>
      </c>
      <c r="I8" s="51">
        <v>400</v>
      </c>
      <c r="J8" s="49">
        <v>110</v>
      </c>
      <c r="K8" s="51">
        <f t="shared" si="1"/>
        <v>110</v>
      </c>
      <c r="L8" s="51">
        <v>150</v>
      </c>
      <c r="M8" s="51">
        <v>0</v>
      </c>
      <c r="N8" s="55">
        <f>8000+500</f>
        <v>8500</v>
      </c>
      <c r="O8" s="58"/>
      <c r="P8" s="51">
        <f>'hse1'!E33</f>
        <v>0</v>
      </c>
      <c r="Q8" s="51">
        <f t="shared" si="2"/>
        <v>8760</v>
      </c>
      <c r="R8" s="51">
        <v>0</v>
      </c>
      <c r="S8" s="51">
        <f t="shared" si="3"/>
        <v>8760</v>
      </c>
      <c r="T8" s="51"/>
      <c r="U8" s="49"/>
      <c r="V8" s="49">
        <v>6</v>
      </c>
      <c r="W8" s="51">
        <v>9420</v>
      </c>
      <c r="X8" s="59">
        <f t="shared" si="5"/>
        <v>660</v>
      </c>
      <c r="Y8" s="53"/>
      <c r="Z8" s="54"/>
      <c r="AA8" s="54"/>
      <c r="AB8" s="54"/>
      <c r="AC8" s="61"/>
      <c r="AD8" s="61"/>
    </row>
    <row r="9" spans="1:30" x14ac:dyDescent="0.5">
      <c r="A9" s="62" t="s">
        <v>208</v>
      </c>
      <c r="B9" s="49" t="s">
        <v>22</v>
      </c>
      <c r="C9" s="56">
        <f t="shared" si="6"/>
        <v>46054</v>
      </c>
      <c r="D9" s="57">
        <v>630</v>
      </c>
      <c r="E9" s="57">
        <v>630</v>
      </c>
      <c r="F9" s="49">
        <f t="shared" si="4"/>
        <v>0</v>
      </c>
      <c r="G9" s="49">
        <v>220</v>
      </c>
      <c r="H9" s="51">
        <f t="shared" si="0"/>
        <v>0</v>
      </c>
      <c r="I9" s="51">
        <v>200</v>
      </c>
      <c r="J9" s="49">
        <v>110</v>
      </c>
      <c r="K9" s="51">
        <f t="shared" si="1"/>
        <v>110</v>
      </c>
      <c r="L9" s="51">
        <v>150</v>
      </c>
      <c r="M9" s="51">
        <v>0</v>
      </c>
      <c r="N9" s="55">
        <f>8500+500</f>
        <v>9000</v>
      </c>
      <c r="O9" s="58">
        <v>2830</v>
      </c>
      <c r="P9" s="51"/>
      <c r="Q9" s="51">
        <f t="shared" si="2"/>
        <v>12090</v>
      </c>
      <c r="R9" s="51">
        <v>0</v>
      </c>
      <c r="S9" s="51">
        <f t="shared" si="3"/>
        <v>12090</v>
      </c>
      <c r="T9" s="51"/>
      <c r="U9" s="49"/>
      <c r="V9" s="49">
        <v>7</v>
      </c>
      <c r="W9" s="51">
        <v>9920</v>
      </c>
      <c r="X9" s="59">
        <f t="shared" si="5"/>
        <v>-2170</v>
      </c>
      <c r="Y9" s="49"/>
    </row>
    <row r="10" spans="1:30" x14ac:dyDescent="0.5">
      <c r="A10" s="63" t="s">
        <v>177</v>
      </c>
      <c r="B10" s="49" t="s">
        <v>23</v>
      </c>
      <c r="C10" s="56">
        <f t="shared" si="6"/>
        <v>46054</v>
      </c>
      <c r="D10" s="57">
        <v>48</v>
      </c>
      <c r="E10" s="57">
        <v>53</v>
      </c>
      <c r="F10" s="49">
        <f t="shared" si="4"/>
        <v>5</v>
      </c>
      <c r="G10" s="49">
        <v>220</v>
      </c>
      <c r="H10" s="51">
        <f t="shared" si="0"/>
        <v>1100</v>
      </c>
      <c r="I10" s="51">
        <v>1200</v>
      </c>
      <c r="J10" s="49">
        <v>110</v>
      </c>
      <c r="K10" s="51">
        <f t="shared" si="1"/>
        <v>1210</v>
      </c>
      <c r="L10" s="51">
        <v>150</v>
      </c>
      <c r="M10" s="51">
        <v>0</v>
      </c>
      <c r="N10" s="55">
        <f>10000+500</f>
        <v>10500</v>
      </c>
      <c r="O10" s="58"/>
      <c r="P10" s="51">
        <f>'hse1'!E35</f>
        <v>0</v>
      </c>
      <c r="Q10" s="51">
        <f t="shared" si="2"/>
        <v>11860</v>
      </c>
      <c r="R10" s="51">
        <v>0</v>
      </c>
      <c r="S10" s="51">
        <f t="shared" si="3"/>
        <v>11860</v>
      </c>
      <c r="T10" s="51"/>
      <c r="U10" s="49"/>
      <c r="V10" s="49">
        <v>8</v>
      </c>
      <c r="W10" s="51">
        <v>11860</v>
      </c>
      <c r="X10" s="59">
        <f t="shared" si="5"/>
        <v>0</v>
      </c>
      <c r="Y10" s="49"/>
    </row>
    <row r="11" spans="1:30" x14ac:dyDescent="0.5">
      <c r="A11" s="63" t="s">
        <v>195</v>
      </c>
      <c r="B11" s="49" t="s">
        <v>24</v>
      </c>
      <c r="C11" s="56">
        <f t="shared" si="6"/>
        <v>46054</v>
      </c>
      <c r="D11" s="57">
        <v>193</v>
      </c>
      <c r="E11" s="57">
        <v>196</v>
      </c>
      <c r="F11" s="49">
        <f t="shared" si="4"/>
        <v>3</v>
      </c>
      <c r="G11" s="49">
        <v>220</v>
      </c>
      <c r="H11" s="51">
        <f t="shared" si="0"/>
        <v>660</v>
      </c>
      <c r="I11" s="51">
        <v>600</v>
      </c>
      <c r="J11" s="49">
        <v>110</v>
      </c>
      <c r="K11" s="51">
        <f t="shared" si="1"/>
        <v>770</v>
      </c>
      <c r="L11" s="51">
        <v>150</v>
      </c>
      <c r="M11" s="51">
        <v>0</v>
      </c>
      <c r="N11" s="55">
        <f>10000+500</f>
        <v>10500</v>
      </c>
      <c r="O11" s="58"/>
      <c r="P11" s="51">
        <f>'hse1'!E36</f>
        <v>0</v>
      </c>
      <c r="Q11" s="51">
        <f t="shared" si="2"/>
        <v>11420</v>
      </c>
      <c r="R11" s="51">
        <v>0</v>
      </c>
      <c r="S11" s="51">
        <f t="shared" si="3"/>
        <v>11420</v>
      </c>
      <c r="T11" s="51"/>
      <c r="U11" s="49"/>
      <c r="V11" s="49">
        <v>9</v>
      </c>
      <c r="W11" s="51">
        <v>11640</v>
      </c>
      <c r="X11" s="59">
        <f t="shared" si="5"/>
        <v>220</v>
      </c>
      <c r="Y11" s="49"/>
    </row>
    <row r="12" spans="1:30" s="46" customFormat="1" x14ac:dyDescent="0.5">
      <c r="A12" s="63" t="s">
        <v>214</v>
      </c>
      <c r="B12" s="49" t="s">
        <v>25</v>
      </c>
      <c r="C12" s="56">
        <f t="shared" si="6"/>
        <v>46054</v>
      </c>
      <c r="D12" s="57">
        <v>66</v>
      </c>
      <c r="E12" s="57">
        <v>70</v>
      </c>
      <c r="F12" s="49">
        <f t="shared" si="4"/>
        <v>4</v>
      </c>
      <c r="G12" s="49">
        <v>220</v>
      </c>
      <c r="H12" s="51">
        <f t="shared" si="0"/>
        <v>880</v>
      </c>
      <c r="I12" s="51">
        <v>1800</v>
      </c>
      <c r="J12" s="49">
        <v>110</v>
      </c>
      <c r="K12" s="51">
        <f t="shared" si="1"/>
        <v>990</v>
      </c>
      <c r="L12" s="51">
        <v>150</v>
      </c>
      <c r="M12" s="51">
        <v>0</v>
      </c>
      <c r="N12" s="55">
        <f>10000+500</f>
        <v>10500</v>
      </c>
      <c r="O12" s="58"/>
      <c r="P12" s="51">
        <f>'hse1'!E37</f>
        <v>0</v>
      </c>
      <c r="Q12" s="51">
        <f t="shared" si="2"/>
        <v>11640</v>
      </c>
      <c r="R12" s="51">
        <v>0</v>
      </c>
      <c r="S12" s="51">
        <f t="shared" si="3"/>
        <v>11640</v>
      </c>
      <c r="T12" s="51"/>
      <c r="U12" s="49"/>
      <c r="V12" s="49">
        <v>10</v>
      </c>
      <c r="W12" s="51">
        <v>11860</v>
      </c>
      <c r="X12" s="59">
        <f t="shared" si="5"/>
        <v>220</v>
      </c>
      <c r="Y12" s="49"/>
    </row>
    <row r="13" spans="1:30" x14ac:dyDescent="0.5">
      <c r="A13" s="63" t="s">
        <v>53</v>
      </c>
      <c r="B13" s="49" t="s">
        <v>26</v>
      </c>
      <c r="C13" s="56">
        <f t="shared" si="6"/>
        <v>46054</v>
      </c>
      <c r="D13" s="57">
        <v>413</v>
      </c>
      <c r="E13" s="57">
        <v>415</v>
      </c>
      <c r="F13" s="49">
        <f t="shared" si="4"/>
        <v>2</v>
      </c>
      <c r="G13" s="49">
        <v>220</v>
      </c>
      <c r="H13" s="51">
        <f t="shared" si="0"/>
        <v>440</v>
      </c>
      <c r="I13" s="51">
        <v>1000</v>
      </c>
      <c r="J13" s="49">
        <v>110</v>
      </c>
      <c r="K13" s="51">
        <f t="shared" si="1"/>
        <v>550</v>
      </c>
      <c r="L13" s="51">
        <v>150</v>
      </c>
      <c r="M13" s="51">
        <v>0</v>
      </c>
      <c r="N13" s="55">
        <f>9500+500</f>
        <v>10000</v>
      </c>
      <c r="O13" s="58"/>
      <c r="P13" s="51">
        <f>'hse1'!E38</f>
        <v>0</v>
      </c>
      <c r="Q13" s="51">
        <f t="shared" si="2"/>
        <v>10700</v>
      </c>
      <c r="R13" s="51">
        <v>0</v>
      </c>
      <c r="S13" s="51">
        <f t="shared" si="3"/>
        <v>10700</v>
      </c>
      <c r="T13" s="51"/>
      <c r="U13" s="49"/>
      <c r="V13" s="49">
        <v>11</v>
      </c>
      <c r="W13" s="51">
        <v>11360</v>
      </c>
      <c r="X13" s="59">
        <f t="shared" si="5"/>
        <v>660</v>
      </c>
      <c r="Y13" s="49"/>
    </row>
    <row r="14" spans="1:30" s="46" customFormat="1" x14ac:dyDescent="0.5">
      <c r="A14" s="49" t="s">
        <v>187</v>
      </c>
      <c r="B14" s="49" t="s">
        <v>27</v>
      </c>
      <c r="C14" s="56">
        <f t="shared" si="6"/>
        <v>46054</v>
      </c>
      <c r="D14" s="57">
        <v>212</v>
      </c>
      <c r="E14" s="57">
        <v>224</v>
      </c>
      <c r="F14" s="49">
        <f t="shared" si="4"/>
        <v>12</v>
      </c>
      <c r="G14" s="49">
        <v>220</v>
      </c>
      <c r="H14" s="51">
        <f t="shared" si="0"/>
        <v>2640</v>
      </c>
      <c r="I14" s="51">
        <v>400</v>
      </c>
      <c r="J14" s="49">
        <v>110</v>
      </c>
      <c r="K14" s="51">
        <f t="shared" si="1"/>
        <v>2750</v>
      </c>
      <c r="L14" s="51">
        <v>150</v>
      </c>
      <c r="M14" s="51">
        <v>0</v>
      </c>
      <c r="N14" s="55">
        <f>10000+500</f>
        <v>10500</v>
      </c>
      <c r="O14" s="58">
        <v>677</v>
      </c>
      <c r="P14" s="51">
        <f>'hse1'!E39</f>
        <v>0</v>
      </c>
      <c r="Q14" s="51">
        <f t="shared" si="2"/>
        <v>14077</v>
      </c>
      <c r="R14" s="51">
        <v>0</v>
      </c>
      <c r="S14" s="51">
        <f t="shared" si="3"/>
        <v>14077</v>
      </c>
      <c r="T14" s="51"/>
      <c r="U14" s="49"/>
      <c r="V14" s="49">
        <v>12</v>
      </c>
      <c r="W14" s="51">
        <v>12740</v>
      </c>
      <c r="X14" s="59">
        <f t="shared" si="5"/>
        <v>-1337</v>
      </c>
      <c r="Y14" s="49"/>
    </row>
    <row r="15" spans="1:30" s="60" customFormat="1" x14ac:dyDescent="0.5">
      <c r="A15" s="63" t="s">
        <v>188</v>
      </c>
      <c r="B15" s="49" t="s">
        <v>28</v>
      </c>
      <c r="C15" s="56">
        <f t="shared" si="6"/>
        <v>46054</v>
      </c>
      <c r="D15" s="57">
        <v>158</v>
      </c>
      <c r="E15" s="57">
        <v>159</v>
      </c>
      <c r="F15" s="49">
        <f t="shared" si="4"/>
        <v>1</v>
      </c>
      <c r="G15" s="49">
        <v>220</v>
      </c>
      <c r="H15" s="51">
        <f t="shared" si="0"/>
        <v>220</v>
      </c>
      <c r="I15" s="51">
        <v>800</v>
      </c>
      <c r="J15" s="49">
        <v>110</v>
      </c>
      <c r="K15" s="51">
        <f t="shared" si="1"/>
        <v>330</v>
      </c>
      <c r="L15" s="51">
        <v>150</v>
      </c>
      <c r="M15" s="51">
        <v>0</v>
      </c>
      <c r="N15" s="55">
        <f>8000+500</f>
        <v>8500</v>
      </c>
      <c r="O15" s="58"/>
      <c r="P15" s="51">
        <f>'hse1'!E40</f>
        <v>0</v>
      </c>
      <c r="Q15" s="51">
        <f t="shared" si="2"/>
        <v>8980</v>
      </c>
      <c r="R15" s="51">
        <v>0</v>
      </c>
      <c r="S15" s="51">
        <f t="shared" si="3"/>
        <v>8980</v>
      </c>
      <c r="T15" s="51"/>
      <c r="U15" s="49"/>
      <c r="V15" s="49">
        <v>13</v>
      </c>
      <c r="W15" s="51">
        <v>9200</v>
      </c>
      <c r="X15" s="59">
        <f t="shared" si="5"/>
        <v>220</v>
      </c>
      <c r="Y15" s="49"/>
    </row>
    <row r="16" spans="1:30" s="46" customFormat="1" x14ac:dyDescent="0.5">
      <c r="A16" s="63" t="s">
        <v>189</v>
      </c>
      <c r="B16" s="49" t="s">
        <v>29</v>
      </c>
      <c r="C16" s="56">
        <f t="shared" si="6"/>
        <v>46054</v>
      </c>
      <c r="D16" s="57">
        <v>714</v>
      </c>
      <c r="E16" s="57">
        <v>716</v>
      </c>
      <c r="F16" s="49">
        <f t="shared" si="4"/>
        <v>2</v>
      </c>
      <c r="G16" s="49">
        <v>220</v>
      </c>
      <c r="H16" s="51">
        <f t="shared" si="0"/>
        <v>440</v>
      </c>
      <c r="I16" s="51">
        <v>1600</v>
      </c>
      <c r="J16" s="49">
        <v>110</v>
      </c>
      <c r="K16" s="51">
        <f t="shared" si="1"/>
        <v>550</v>
      </c>
      <c r="L16" s="51">
        <v>150</v>
      </c>
      <c r="M16" s="51">
        <v>0</v>
      </c>
      <c r="N16" s="55">
        <f>8500+500</f>
        <v>9000</v>
      </c>
      <c r="O16" s="58">
        <v>820</v>
      </c>
      <c r="P16" s="51">
        <f>'hse1'!E41</f>
        <v>0</v>
      </c>
      <c r="Q16" s="51">
        <f t="shared" si="2"/>
        <v>10520</v>
      </c>
      <c r="R16" s="51">
        <v>0</v>
      </c>
      <c r="S16" s="51">
        <f t="shared" si="3"/>
        <v>10520</v>
      </c>
      <c r="T16" s="51"/>
      <c r="U16" s="49"/>
      <c r="V16" s="49">
        <v>14</v>
      </c>
      <c r="W16" s="51">
        <v>11680</v>
      </c>
      <c r="X16" s="59">
        <f t="shared" si="5"/>
        <v>1160</v>
      </c>
      <c r="Y16" s="49"/>
    </row>
    <row r="17" spans="1:25" x14ac:dyDescent="0.5">
      <c r="A17" s="49" t="s">
        <v>184</v>
      </c>
      <c r="B17" s="49" t="s">
        <v>59</v>
      </c>
      <c r="C17" s="56">
        <f>SUM(C16)</f>
        <v>46054</v>
      </c>
      <c r="D17" s="57">
        <v>195</v>
      </c>
      <c r="E17" s="57">
        <v>200</v>
      </c>
      <c r="F17" s="49">
        <f t="shared" si="4"/>
        <v>5</v>
      </c>
      <c r="G17" s="49">
        <v>220</v>
      </c>
      <c r="H17" s="51">
        <f t="shared" si="0"/>
        <v>1100</v>
      </c>
      <c r="I17" s="51">
        <v>600</v>
      </c>
      <c r="J17" s="49">
        <v>110</v>
      </c>
      <c r="K17" s="51">
        <f t="shared" si="1"/>
        <v>1210</v>
      </c>
      <c r="L17" s="51">
        <v>150</v>
      </c>
      <c r="M17" s="51">
        <v>0</v>
      </c>
      <c r="N17" s="55">
        <f>10000+500</f>
        <v>10500</v>
      </c>
      <c r="O17" s="58">
        <v>677</v>
      </c>
      <c r="P17" s="51">
        <f>'hse1'!E42</f>
        <v>0</v>
      </c>
      <c r="Q17" s="51">
        <f t="shared" si="2"/>
        <v>12537</v>
      </c>
      <c r="R17" s="51">
        <v>0</v>
      </c>
      <c r="S17" s="51">
        <f>Q17-R17</f>
        <v>12537</v>
      </c>
      <c r="T17" s="51"/>
      <c r="U17" s="49"/>
      <c r="V17" s="49">
        <v>15</v>
      </c>
      <c r="W17" s="51">
        <v>11640</v>
      </c>
      <c r="X17" s="59">
        <f t="shared" si="5"/>
        <v>-897</v>
      </c>
      <c r="Y17" s="49"/>
    </row>
    <row r="18" spans="1:25" x14ac:dyDescent="0.5">
      <c r="A18" s="63" t="s">
        <v>228</v>
      </c>
      <c r="B18" s="49" t="s">
        <v>60</v>
      </c>
      <c r="C18" s="56">
        <f t="shared" si="6"/>
        <v>46054</v>
      </c>
      <c r="D18" s="57">
        <v>190</v>
      </c>
      <c r="E18" s="57">
        <v>190</v>
      </c>
      <c r="F18" s="49">
        <f t="shared" si="4"/>
        <v>0</v>
      </c>
      <c r="G18" s="49">
        <v>220</v>
      </c>
      <c r="H18" s="51">
        <f t="shared" si="0"/>
        <v>0</v>
      </c>
      <c r="I18" s="51">
        <v>400</v>
      </c>
      <c r="J18" s="49">
        <v>110</v>
      </c>
      <c r="K18" s="51">
        <f t="shared" si="1"/>
        <v>110</v>
      </c>
      <c r="L18" s="51">
        <v>150</v>
      </c>
      <c r="M18" s="51">
        <v>0</v>
      </c>
      <c r="N18" s="55">
        <f>10000+500</f>
        <v>10500</v>
      </c>
      <c r="O18" s="58">
        <v>677</v>
      </c>
      <c r="P18" s="51">
        <f>'hse1'!E43</f>
        <v>0</v>
      </c>
      <c r="Q18" s="51">
        <f t="shared" si="2"/>
        <v>11437</v>
      </c>
      <c r="R18" s="51">
        <v>0</v>
      </c>
      <c r="S18" s="51">
        <f t="shared" si="3"/>
        <v>11437</v>
      </c>
      <c r="T18" s="51"/>
      <c r="U18" s="49"/>
      <c r="V18" s="49">
        <v>16</v>
      </c>
      <c r="W18" s="51">
        <v>11200</v>
      </c>
      <c r="X18" s="59">
        <f t="shared" si="5"/>
        <v>-237</v>
      </c>
      <c r="Y18" s="49"/>
    </row>
    <row r="19" spans="1:25" x14ac:dyDescent="0.5">
      <c r="A19" s="63" t="s">
        <v>203</v>
      </c>
      <c r="B19" s="49" t="s">
        <v>61</v>
      </c>
      <c r="C19" s="56">
        <f t="shared" si="6"/>
        <v>46054</v>
      </c>
      <c r="D19" s="57">
        <v>484</v>
      </c>
      <c r="E19" s="57">
        <v>487</v>
      </c>
      <c r="F19" s="49">
        <f t="shared" si="4"/>
        <v>3</v>
      </c>
      <c r="G19" s="49">
        <v>220</v>
      </c>
      <c r="H19" s="51">
        <f t="shared" si="0"/>
        <v>660</v>
      </c>
      <c r="I19" s="51">
        <v>800</v>
      </c>
      <c r="J19" s="49">
        <v>110</v>
      </c>
      <c r="K19" s="51">
        <f t="shared" si="1"/>
        <v>770</v>
      </c>
      <c r="L19" s="51">
        <v>150</v>
      </c>
      <c r="M19" s="51">
        <v>0</v>
      </c>
      <c r="N19" s="55">
        <f>10000+500</f>
        <v>10500</v>
      </c>
      <c r="O19" s="58">
        <v>1000</v>
      </c>
      <c r="P19" s="51">
        <f>'hse1'!E44</f>
        <v>0</v>
      </c>
      <c r="Q19" s="51">
        <f t="shared" si="2"/>
        <v>12420</v>
      </c>
      <c r="R19" s="51">
        <v>0</v>
      </c>
      <c r="S19" s="51">
        <f t="shared" si="3"/>
        <v>12420</v>
      </c>
      <c r="T19" s="51"/>
      <c r="U19" s="49"/>
      <c r="V19" s="49">
        <v>17</v>
      </c>
      <c r="W19" s="51">
        <v>11860</v>
      </c>
      <c r="X19" s="59">
        <f t="shared" si="5"/>
        <v>-560</v>
      </c>
      <c r="Y19" s="49"/>
    </row>
    <row r="20" spans="1:25" x14ac:dyDescent="0.5">
      <c r="A20" s="63" t="s">
        <v>174</v>
      </c>
      <c r="B20" s="49" t="s">
        <v>58</v>
      </c>
      <c r="C20" s="56">
        <f t="shared" si="6"/>
        <v>46054</v>
      </c>
      <c r="D20" s="57">
        <v>210</v>
      </c>
      <c r="E20" s="57">
        <v>213</v>
      </c>
      <c r="F20" s="49">
        <f t="shared" si="4"/>
        <v>3</v>
      </c>
      <c r="G20" s="49">
        <v>220</v>
      </c>
      <c r="H20" s="51">
        <f t="shared" si="0"/>
        <v>660</v>
      </c>
      <c r="I20" s="51">
        <v>600</v>
      </c>
      <c r="J20" s="49">
        <v>110</v>
      </c>
      <c r="K20" s="51">
        <f t="shared" si="1"/>
        <v>770</v>
      </c>
      <c r="L20" s="51">
        <v>150</v>
      </c>
      <c r="M20" s="51">
        <v>0</v>
      </c>
      <c r="N20" s="55">
        <f>10000+500</f>
        <v>10500</v>
      </c>
      <c r="O20" s="58">
        <v>1750</v>
      </c>
      <c r="P20" s="51">
        <f>'hse1'!E45</f>
        <v>0</v>
      </c>
      <c r="Q20" s="51">
        <f t="shared" si="2"/>
        <v>13170</v>
      </c>
      <c r="R20" s="51">
        <v>0</v>
      </c>
      <c r="S20" s="51">
        <f t="shared" si="3"/>
        <v>13170</v>
      </c>
      <c r="T20" s="51"/>
      <c r="U20" s="49"/>
      <c r="V20" s="49">
        <v>18</v>
      </c>
      <c r="W20" s="51">
        <v>11420</v>
      </c>
      <c r="X20" s="59">
        <f t="shared" si="5"/>
        <v>-1750</v>
      </c>
      <c r="Y20" s="59"/>
    </row>
    <row r="21" spans="1:25" x14ac:dyDescent="0.5">
      <c r="A21" s="49" t="s">
        <v>181</v>
      </c>
      <c r="B21" s="49" t="s">
        <v>62</v>
      </c>
      <c r="C21" s="56">
        <f t="shared" si="6"/>
        <v>46054</v>
      </c>
      <c r="D21" s="57">
        <v>55</v>
      </c>
      <c r="E21" s="57">
        <v>59</v>
      </c>
      <c r="F21" s="49">
        <f t="shared" si="4"/>
        <v>4</v>
      </c>
      <c r="G21" s="49">
        <v>220</v>
      </c>
      <c r="H21" s="51">
        <f t="shared" si="0"/>
        <v>880</v>
      </c>
      <c r="I21" s="51">
        <v>800</v>
      </c>
      <c r="J21" s="49">
        <v>110</v>
      </c>
      <c r="K21" s="51">
        <f t="shared" si="1"/>
        <v>990</v>
      </c>
      <c r="L21" s="51">
        <v>150</v>
      </c>
      <c r="M21" s="51">
        <v>0</v>
      </c>
      <c r="N21" s="55">
        <f>10000+500</f>
        <v>10500</v>
      </c>
      <c r="O21" s="58">
        <v>548</v>
      </c>
      <c r="P21" s="51">
        <f>'hse1'!E46</f>
        <v>0</v>
      </c>
      <c r="Q21" s="51">
        <f t="shared" si="2"/>
        <v>12188</v>
      </c>
      <c r="R21" s="51">
        <v>0</v>
      </c>
      <c r="S21" s="51">
        <f t="shared" si="3"/>
        <v>12188</v>
      </c>
      <c r="T21" s="51"/>
      <c r="U21" s="49"/>
      <c r="V21" s="49">
        <v>19</v>
      </c>
      <c r="W21" s="51">
        <v>11640</v>
      </c>
      <c r="X21" s="59">
        <f t="shared" si="5"/>
        <v>-548</v>
      </c>
      <c r="Y21" s="49"/>
    </row>
    <row r="22" spans="1:25" x14ac:dyDescent="0.5">
      <c r="A22" s="49" t="s">
        <v>215</v>
      </c>
      <c r="B22" s="49" t="s">
        <v>63</v>
      </c>
      <c r="C22" s="56">
        <f t="shared" si="6"/>
        <v>46054</v>
      </c>
      <c r="D22" s="57">
        <v>265</v>
      </c>
      <c r="E22" s="57">
        <v>267</v>
      </c>
      <c r="F22" s="49">
        <f t="shared" si="4"/>
        <v>2</v>
      </c>
      <c r="G22" s="49">
        <v>220</v>
      </c>
      <c r="H22" s="51">
        <f t="shared" si="0"/>
        <v>440</v>
      </c>
      <c r="I22" s="51">
        <v>400</v>
      </c>
      <c r="J22" s="49">
        <v>110</v>
      </c>
      <c r="K22" s="51">
        <f t="shared" si="1"/>
        <v>550</v>
      </c>
      <c r="L22" s="51">
        <v>150</v>
      </c>
      <c r="M22" s="51">
        <v>0</v>
      </c>
      <c r="N22" s="55">
        <f>8500+500</f>
        <v>9000</v>
      </c>
      <c r="O22" s="58"/>
      <c r="P22" s="51">
        <f>'hse1'!E47</f>
        <v>0</v>
      </c>
      <c r="Q22" s="51">
        <f t="shared" si="2"/>
        <v>9700</v>
      </c>
      <c r="R22" s="51">
        <v>0</v>
      </c>
      <c r="S22" s="51">
        <f t="shared" si="3"/>
        <v>9700</v>
      </c>
      <c r="T22" s="51"/>
      <c r="U22" s="49"/>
      <c r="V22" s="49">
        <v>20</v>
      </c>
      <c r="W22" s="51">
        <v>9480</v>
      </c>
      <c r="X22" s="59">
        <f t="shared" si="5"/>
        <v>-220</v>
      </c>
      <c r="Y22" s="49"/>
    </row>
    <row r="23" spans="1:25" x14ac:dyDescent="0.5">
      <c r="A23" s="49" t="s">
        <v>217</v>
      </c>
      <c r="B23" s="49" t="s">
        <v>64</v>
      </c>
      <c r="C23" s="56">
        <f t="shared" si="6"/>
        <v>46054</v>
      </c>
      <c r="D23" s="57">
        <v>176</v>
      </c>
      <c r="E23" s="57">
        <v>180</v>
      </c>
      <c r="F23" s="49">
        <f t="shared" si="4"/>
        <v>4</v>
      </c>
      <c r="G23" s="49">
        <v>220</v>
      </c>
      <c r="H23" s="51">
        <f t="shared" si="0"/>
        <v>880</v>
      </c>
      <c r="I23" s="51">
        <v>400</v>
      </c>
      <c r="J23" s="49">
        <v>110</v>
      </c>
      <c r="K23" s="51">
        <f t="shared" si="1"/>
        <v>990</v>
      </c>
      <c r="L23" s="51">
        <v>150</v>
      </c>
      <c r="M23" s="51">
        <v>0</v>
      </c>
      <c r="N23" s="55">
        <f>8500+500</f>
        <v>9000</v>
      </c>
      <c r="O23" s="58"/>
      <c r="P23" s="51">
        <f>'hse1'!E48</f>
        <v>0</v>
      </c>
      <c r="Q23" s="51">
        <f t="shared" si="2"/>
        <v>10140</v>
      </c>
      <c r="R23" s="51">
        <v>0</v>
      </c>
      <c r="S23" s="51">
        <f t="shared" si="3"/>
        <v>10140</v>
      </c>
      <c r="T23" s="51"/>
      <c r="U23" s="49"/>
      <c r="V23" s="49">
        <v>21</v>
      </c>
      <c r="W23" s="51">
        <v>10360</v>
      </c>
      <c r="X23" s="59">
        <f t="shared" si="5"/>
        <v>220</v>
      </c>
      <c r="Y23" s="49"/>
    </row>
    <row r="24" spans="1:25" x14ac:dyDescent="0.5">
      <c r="A24" s="63" t="s">
        <v>147</v>
      </c>
      <c r="B24" s="49" t="s">
        <v>65</v>
      </c>
      <c r="C24" s="56">
        <f t="shared" si="6"/>
        <v>46054</v>
      </c>
      <c r="D24" s="57">
        <v>290</v>
      </c>
      <c r="E24" s="57">
        <v>292</v>
      </c>
      <c r="F24" s="49">
        <f t="shared" si="4"/>
        <v>2</v>
      </c>
      <c r="G24" s="49">
        <v>220</v>
      </c>
      <c r="H24" s="51">
        <f t="shared" si="0"/>
        <v>440</v>
      </c>
      <c r="I24" s="51">
        <v>400</v>
      </c>
      <c r="J24" s="49">
        <v>110</v>
      </c>
      <c r="K24" s="51">
        <f t="shared" si="1"/>
        <v>550</v>
      </c>
      <c r="L24" s="51">
        <v>150</v>
      </c>
      <c r="M24" s="51">
        <v>0</v>
      </c>
      <c r="N24" s="55">
        <f>10000+500</f>
        <v>10500</v>
      </c>
      <c r="O24" s="58"/>
      <c r="P24" s="51">
        <f>'hse1'!E49</f>
        <v>0</v>
      </c>
      <c r="Q24" s="51">
        <f t="shared" si="2"/>
        <v>11200</v>
      </c>
      <c r="R24" s="51">
        <v>0</v>
      </c>
      <c r="S24" s="51">
        <f>Q24-R24</f>
        <v>11200</v>
      </c>
      <c r="T24" s="51"/>
      <c r="U24" s="49"/>
      <c r="V24" s="49">
        <v>22</v>
      </c>
      <c r="W24" s="51">
        <v>10980</v>
      </c>
      <c r="X24" s="59">
        <f t="shared" si="5"/>
        <v>-220</v>
      </c>
      <c r="Y24" s="49"/>
    </row>
    <row r="25" spans="1:25" s="46" customFormat="1" x14ac:dyDescent="0.5">
      <c r="A25" s="63" t="s">
        <v>190</v>
      </c>
      <c r="B25" s="49" t="s">
        <v>66</v>
      </c>
      <c r="C25" s="56">
        <f t="shared" si="6"/>
        <v>46054</v>
      </c>
      <c r="D25" s="57">
        <v>670</v>
      </c>
      <c r="E25" s="57">
        <v>673</v>
      </c>
      <c r="F25" s="49">
        <f t="shared" si="4"/>
        <v>3</v>
      </c>
      <c r="G25" s="49">
        <v>220</v>
      </c>
      <c r="H25" s="51">
        <f t="shared" si="0"/>
        <v>660</v>
      </c>
      <c r="I25" s="51">
        <v>1400</v>
      </c>
      <c r="J25" s="49">
        <v>110</v>
      </c>
      <c r="K25" s="51">
        <f t="shared" si="1"/>
        <v>770</v>
      </c>
      <c r="L25" s="51">
        <v>150</v>
      </c>
      <c r="M25" s="51">
        <v>0</v>
      </c>
      <c r="N25" s="55">
        <f>10000+500</f>
        <v>10500</v>
      </c>
      <c r="O25" s="58"/>
      <c r="P25" s="51">
        <f>'hse1'!E50</f>
        <v>0</v>
      </c>
      <c r="Q25" s="51">
        <f t="shared" si="2"/>
        <v>11420</v>
      </c>
      <c r="R25" s="51">
        <v>0</v>
      </c>
      <c r="S25" s="51">
        <f t="shared" si="3"/>
        <v>11420</v>
      </c>
      <c r="T25" s="51"/>
      <c r="U25" s="49"/>
      <c r="V25" s="49">
        <v>23</v>
      </c>
      <c r="W25" s="51">
        <v>10980</v>
      </c>
      <c r="X25" s="59">
        <f t="shared" si="5"/>
        <v>-440</v>
      </c>
      <c r="Y25" s="49"/>
    </row>
    <row r="26" spans="1:25" s="46" customFormat="1" x14ac:dyDescent="0.5">
      <c r="A26" s="49" t="s">
        <v>175</v>
      </c>
      <c r="B26" s="49" t="s">
        <v>67</v>
      </c>
      <c r="C26" s="56">
        <f t="shared" si="6"/>
        <v>46054</v>
      </c>
      <c r="D26" s="57">
        <v>92</v>
      </c>
      <c r="E26" s="57">
        <v>94</v>
      </c>
      <c r="F26" s="49">
        <f t="shared" si="4"/>
        <v>2</v>
      </c>
      <c r="G26" s="49">
        <v>220</v>
      </c>
      <c r="H26" s="51">
        <f t="shared" si="0"/>
        <v>440</v>
      </c>
      <c r="I26" s="51">
        <v>1200</v>
      </c>
      <c r="J26" s="49">
        <v>110</v>
      </c>
      <c r="K26" s="51">
        <f t="shared" si="1"/>
        <v>550</v>
      </c>
      <c r="L26" s="51">
        <v>150</v>
      </c>
      <c r="M26" s="51">
        <v>0</v>
      </c>
      <c r="N26" s="55">
        <f>10000+500</f>
        <v>10500</v>
      </c>
      <c r="O26" s="58"/>
      <c r="P26" s="51">
        <f>'hse1'!E51</f>
        <v>0</v>
      </c>
      <c r="Q26" s="51">
        <f t="shared" si="2"/>
        <v>11200</v>
      </c>
      <c r="R26" s="51">
        <v>0</v>
      </c>
      <c r="S26" s="51">
        <f t="shared" si="3"/>
        <v>11200</v>
      </c>
      <c r="T26" s="51"/>
      <c r="U26" s="49"/>
      <c r="V26" s="49">
        <v>24</v>
      </c>
      <c r="W26" s="51">
        <v>11200</v>
      </c>
      <c r="X26" s="59">
        <f t="shared" si="5"/>
        <v>0</v>
      </c>
      <c r="Y26" s="49"/>
    </row>
    <row r="27" spans="1:25" s="46" customFormat="1" x14ac:dyDescent="0.5">
      <c r="A27" s="89" t="s">
        <v>186</v>
      </c>
      <c r="B27" s="49" t="s">
        <v>68</v>
      </c>
      <c r="C27" s="56">
        <f t="shared" si="6"/>
        <v>46054</v>
      </c>
      <c r="D27" s="57">
        <v>698</v>
      </c>
      <c r="E27" s="57">
        <v>701</v>
      </c>
      <c r="F27" s="49">
        <f t="shared" si="4"/>
        <v>3</v>
      </c>
      <c r="G27" s="49">
        <v>220</v>
      </c>
      <c r="H27" s="51">
        <f t="shared" si="0"/>
        <v>660</v>
      </c>
      <c r="I27" s="51">
        <v>200</v>
      </c>
      <c r="J27" s="49">
        <v>110</v>
      </c>
      <c r="K27" s="51">
        <f t="shared" si="1"/>
        <v>770</v>
      </c>
      <c r="L27" s="51">
        <v>150</v>
      </c>
      <c r="M27" s="51">
        <v>0</v>
      </c>
      <c r="N27" s="55">
        <f>10000+500</f>
        <v>10500</v>
      </c>
      <c r="O27" s="58">
        <v>1355</v>
      </c>
      <c r="P27" s="51">
        <f>'hse1'!E52</f>
        <v>0</v>
      </c>
      <c r="Q27" s="51">
        <f t="shared" si="2"/>
        <v>12775</v>
      </c>
      <c r="R27" s="51">
        <v>0</v>
      </c>
      <c r="S27" s="51">
        <f t="shared" si="3"/>
        <v>12775</v>
      </c>
      <c r="T27" s="51"/>
      <c r="U27" s="49"/>
      <c r="V27" s="49">
        <v>25</v>
      </c>
      <c r="W27" s="51">
        <v>11420</v>
      </c>
      <c r="X27" s="59">
        <f t="shared" si="5"/>
        <v>-1355</v>
      </c>
      <c r="Y27" s="49"/>
    </row>
    <row r="28" spans="1:25" s="46" customFormat="1" x14ac:dyDescent="0.5">
      <c r="A28" s="63" t="s">
        <v>143</v>
      </c>
      <c r="B28" s="49" t="s">
        <v>69</v>
      </c>
      <c r="C28" s="56">
        <f t="shared" si="6"/>
        <v>46054</v>
      </c>
      <c r="D28" s="57">
        <v>1377</v>
      </c>
      <c r="E28" s="57">
        <v>1381</v>
      </c>
      <c r="F28" s="49">
        <f t="shared" si="4"/>
        <v>4</v>
      </c>
      <c r="G28" s="49">
        <v>220</v>
      </c>
      <c r="H28" s="51">
        <f t="shared" si="0"/>
        <v>880</v>
      </c>
      <c r="I28" s="51">
        <v>800</v>
      </c>
      <c r="J28" s="49">
        <v>110</v>
      </c>
      <c r="K28" s="51">
        <f t="shared" si="1"/>
        <v>990</v>
      </c>
      <c r="L28" s="51">
        <v>150</v>
      </c>
      <c r="M28" s="51">
        <v>0</v>
      </c>
      <c r="N28" s="55">
        <f>9500+500</f>
        <v>10000</v>
      </c>
      <c r="O28" s="58"/>
      <c r="P28" s="51">
        <f>'hse1'!E53</f>
        <v>0</v>
      </c>
      <c r="Q28" s="51">
        <f t="shared" si="2"/>
        <v>11140</v>
      </c>
      <c r="R28" s="51">
        <v>0</v>
      </c>
      <c r="S28" s="51">
        <f t="shared" si="3"/>
        <v>11140</v>
      </c>
      <c r="T28" s="51"/>
      <c r="U28" s="49"/>
      <c r="V28" s="49">
        <v>26</v>
      </c>
      <c r="W28" s="51">
        <v>10920</v>
      </c>
      <c r="X28" s="59">
        <f t="shared" si="5"/>
        <v>-220</v>
      </c>
      <c r="Y28" s="49"/>
    </row>
    <row r="29" spans="1:25" s="46" customFormat="1" x14ac:dyDescent="0.5">
      <c r="A29" s="63" t="s">
        <v>193</v>
      </c>
      <c r="B29" s="49" t="s">
        <v>71</v>
      </c>
      <c r="C29" s="56">
        <f t="shared" si="6"/>
        <v>46054</v>
      </c>
      <c r="D29" s="57">
        <v>214</v>
      </c>
      <c r="E29" s="57">
        <v>215</v>
      </c>
      <c r="F29" s="49">
        <f t="shared" si="4"/>
        <v>1</v>
      </c>
      <c r="G29" s="49">
        <v>220</v>
      </c>
      <c r="H29" s="51">
        <f t="shared" si="0"/>
        <v>220</v>
      </c>
      <c r="I29" s="51">
        <v>400</v>
      </c>
      <c r="J29" s="49">
        <v>110</v>
      </c>
      <c r="K29" s="51">
        <f t="shared" si="1"/>
        <v>330</v>
      </c>
      <c r="L29" s="51">
        <v>150</v>
      </c>
      <c r="M29" s="51">
        <v>0</v>
      </c>
      <c r="N29" s="55">
        <f>8500+500</f>
        <v>9000</v>
      </c>
      <c r="O29" s="58">
        <v>1132</v>
      </c>
      <c r="P29" s="51">
        <f>'hse1'!E54</f>
        <v>0</v>
      </c>
      <c r="Q29" s="51">
        <f t="shared" si="2"/>
        <v>10612</v>
      </c>
      <c r="R29" s="51">
        <v>0</v>
      </c>
      <c r="S29" s="51">
        <f t="shared" si="3"/>
        <v>10612</v>
      </c>
      <c r="T29" s="64">
        <f>Q29*3%</f>
        <v>318.36</v>
      </c>
      <c r="U29" s="49" t="s">
        <v>153</v>
      </c>
      <c r="V29" s="65" t="s">
        <v>71</v>
      </c>
      <c r="W29" s="51">
        <v>9700</v>
      </c>
      <c r="X29" s="59">
        <f t="shared" si="5"/>
        <v>-912</v>
      </c>
      <c r="Y29" s="49"/>
    </row>
    <row r="30" spans="1:25" s="46" customFormat="1" x14ac:dyDescent="0.5">
      <c r="A30" s="63" t="s">
        <v>191</v>
      </c>
      <c r="B30" s="49" t="s">
        <v>70</v>
      </c>
      <c r="C30" s="56">
        <f t="shared" si="6"/>
        <v>46054</v>
      </c>
      <c r="D30" s="57">
        <v>116</v>
      </c>
      <c r="E30" s="57">
        <v>118</v>
      </c>
      <c r="F30" s="49">
        <f t="shared" si="4"/>
        <v>2</v>
      </c>
      <c r="G30" s="49">
        <v>220</v>
      </c>
      <c r="H30" s="51">
        <f t="shared" si="0"/>
        <v>440</v>
      </c>
      <c r="I30" s="51">
        <v>200</v>
      </c>
      <c r="J30" s="49">
        <v>110</v>
      </c>
      <c r="K30" s="51">
        <f t="shared" si="1"/>
        <v>550</v>
      </c>
      <c r="L30" s="51">
        <v>150</v>
      </c>
      <c r="M30" s="51">
        <v>0</v>
      </c>
      <c r="N30" s="55">
        <f>8500+500</f>
        <v>9000</v>
      </c>
      <c r="O30" s="58"/>
      <c r="P30" s="51">
        <f>'hse1'!E55</f>
        <v>0</v>
      </c>
      <c r="Q30" s="51">
        <f t="shared" si="2"/>
        <v>9700</v>
      </c>
      <c r="R30" s="51">
        <v>0</v>
      </c>
      <c r="S30" s="51">
        <f t="shared" si="3"/>
        <v>9700</v>
      </c>
      <c r="T30" s="51"/>
      <c r="U30" s="49"/>
      <c r="V30" s="65" t="s">
        <v>70</v>
      </c>
      <c r="W30" s="51">
        <v>10140</v>
      </c>
      <c r="X30" s="59">
        <f t="shared" si="5"/>
        <v>440</v>
      </c>
      <c r="Y30" s="49"/>
    </row>
    <row r="31" spans="1:25" x14ac:dyDescent="0.5">
      <c r="A31" s="63" t="s">
        <v>192</v>
      </c>
      <c r="B31" s="49" t="s">
        <v>72</v>
      </c>
      <c r="C31" s="56">
        <f t="shared" si="6"/>
        <v>46054</v>
      </c>
      <c r="D31" s="57">
        <v>612</v>
      </c>
      <c r="E31" s="57">
        <v>615</v>
      </c>
      <c r="F31" s="49">
        <f t="shared" si="4"/>
        <v>3</v>
      </c>
      <c r="G31" s="49">
        <v>220</v>
      </c>
      <c r="H31" s="51">
        <f t="shared" si="0"/>
        <v>660</v>
      </c>
      <c r="I31" s="51">
        <v>800</v>
      </c>
      <c r="J31" s="49">
        <v>110</v>
      </c>
      <c r="K31" s="51">
        <f t="shared" si="1"/>
        <v>770</v>
      </c>
      <c r="L31" s="51">
        <v>150</v>
      </c>
      <c r="M31" s="51">
        <v>0</v>
      </c>
      <c r="N31" s="55">
        <f>10000+500</f>
        <v>10500</v>
      </c>
      <c r="O31" s="58"/>
      <c r="P31" s="51">
        <v>0</v>
      </c>
      <c r="Q31" s="51">
        <f t="shared" si="2"/>
        <v>11420</v>
      </c>
      <c r="R31" s="51">
        <v>0</v>
      </c>
      <c r="S31" s="51">
        <f t="shared" si="3"/>
        <v>11420</v>
      </c>
      <c r="T31" s="51"/>
      <c r="U31" s="49"/>
      <c r="V31" s="65">
        <v>29</v>
      </c>
      <c r="W31" s="51">
        <v>13620</v>
      </c>
      <c r="X31" s="59">
        <f t="shared" si="5"/>
        <v>2200</v>
      </c>
      <c r="Y31" s="49"/>
    </row>
    <row r="32" spans="1:25" x14ac:dyDescent="0.5">
      <c r="A32" s="63" t="s">
        <v>167</v>
      </c>
      <c r="B32" s="49" t="s">
        <v>73</v>
      </c>
      <c r="C32" s="56">
        <f t="shared" si="6"/>
        <v>46054</v>
      </c>
      <c r="D32" s="57">
        <v>59</v>
      </c>
      <c r="E32" s="57">
        <v>62</v>
      </c>
      <c r="F32" s="49">
        <f t="shared" si="4"/>
        <v>3</v>
      </c>
      <c r="G32" s="49">
        <v>220</v>
      </c>
      <c r="H32" s="51">
        <f t="shared" si="0"/>
        <v>660</v>
      </c>
      <c r="I32" s="51">
        <v>400</v>
      </c>
      <c r="J32" s="49">
        <v>110</v>
      </c>
      <c r="K32" s="51">
        <f t="shared" si="1"/>
        <v>770</v>
      </c>
      <c r="L32" s="51">
        <v>150</v>
      </c>
      <c r="M32" s="51">
        <v>0</v>
      </c>
      <c r="N32" s="55">
        <f>9500+500</f>
        <v>10000</v>
      </c>
      <c r="O32" s="58"/>
      <c r="P32" s="51">
        <f>'hse1'!E57</f>
        <v>0</v>
      </c>
      <c r="Q32" s="51">
        <f t="shared" si="2"/>
        <v>10920</v>
      </c>
      <c r="R32" s="51">
        <v>0</v>
      </c>
      <c r="S32" s="51">
        <f t="shared" si="3"/>
        <v>10920</v>
      </c>
      <c r="T32" s="51"/>
      <c r="U32" s="49"/>
      <c r="V32" s="65">
        <v>30</v>
      </c>
      <c r="W32" s="51">
        <v>10700</v>
      </c>
      <c r="X32" s="59">
        <f t="shared" si="5"/>
        <v>-220</v>
      </c>
      <c r="Y32" s="49"/>
    </row>
    <row r="33" spans="1:255" x14ac:dyDescent="0.5">
      <c r="A33" s="49" t="s">
        <v>202</v>
      </c>
      <c r="B33" s="49" t="s">
        <v>74</v>
      </c>
      <c r="C33" s="56">
        <f t="shared" si="6"/>
        <v>46054</v>
      </c>
      <c r="D33" s="57">
        <v>137</v>
      </c>
      <c r="E33" s="57">
        <v>140</v>
      </c>
      <c r="F33" s="49">
        <f t="shared" si="4"/>
        <v>3</v>
      </c>
      <c r="G33" s="49">
        <v>220</v>
      </c>
      <c r="H33" s="51">
        <f t="shared" si="0"/>
        <v>660</v>
      </c>
      <c r="I33" s="51">
        <v>400</v>
      </c>
      <c r="J33" s="49">
        <v>110</v>
      </c>
      <c r="K33" s="51">
        <f t="shared" si="1"/>
        <v>770</v>
      </c>
      <c r="L33" s="51">
        <v>150</v>
      </c>
      <c r="M33" s="51">
        <v>0</v>
      </c>
      <c r="N33" s="55">
        <f>10000+500</f>
        <v>10500</v>
      </c>
      <c r="O33" s="58">
        <v>1750</v>
      </c>
      <c r="P33" s="51">
        <v>0</v>
      </c>
      <c r="Q33" s="51">
        <v>0</v>
      </c>
      <c r="R33" s="51">
        <v>0</v>
      </c>
      <c r="S33" s="51">
        <f t="shared" si="3"/>
        <v>0</v>
      </c>
      <c r="T33" s="51"/>
      <c r="U33" s="49"/>
      <c r="V33" s="65">
        <v>31</v>
      </c>
      <c r="W33" s="51">
        <v>11420</v>
      </c>
      <c r="X33" s="59">
        <f t="shared" si="5"/>
        <v>11420</v>
      </c>
      <c r="Y33" s="49"/>
    </row>
    <row r="34" spans="1:255" x14ac:dyDescent="0.5">
      <c r="A34" s="63" t="s">
        <v>164</v>
      </c>
      <c r="B34" s="49" t="s">
        <v>75</v>
      </c>
      <c r="C34" s="56">
        <f t="shared" si="6"/>
        <v>46054</v>
      </c>
      <c r="D34" s="57">
        <v>582</v>
      </c>
      <c r="E34" s="57">
        <v>588</v>
      </c>
      <c r="F34" s="49">
        <f t="shared" si="4"/>
        <v>6</v>
      </c>
      <c r="G34" s="49">
        <v>220</v>
      </c>
      <c r="H34" s="51">
        <f t="shared" si="0"/>
        <v>1320</v>
      </c>
      <c r="I34" s="51">
        <v>1200</v>
      </c>
      <c r="J34" s="49">
        <v>110</v>
      </c>
      <c r="K34" s="51">
        <f t="shared" si="1"/>
        <v>1430</v>
      </c>
      <c r="L34" s="51">
        <v>150</v>
      </c>
      <c r="M34" s="51">
        <v>0</v>
      </c>
      <c r="N34" s="55">
        <f>9500+500</f>
        <v>10000</v>
      </c>
      <c r="O34" s="58"/>
      <c r="P34" s="51">
        <f>'hse1'!E59</f>
        <v>0</v>
      </c>
      <c r="Q34" s="51">
        <f>K34+L34+M34+N34+O33+P34</f>
        <v>13330</v>
      </c>
      <c r="R34" s="51">
        <v>0</v>
      </c>
      <c r="S34" s="51">
        <f t="shared" si="3"/>
        <v>13330</v>
      </c>
      <c r="T34" s="51"/>
      <c r="U34" s="49"/>
      <c r="V34" s="65">
        <v>32</v>
      </c>
      <c r="W34" s="51">
        <v>11580</v>
      </c>
      <c r="X34" s="59">
        <f t="shared" si="5"/>
        <v>-1750</v>
      </c>
      <c r="Y34" s="49"/>
    </row>
    <row r="35" spans="1:255" s="46" customFormat="1" x14ac:dyDescent="0.5">
      <c r="A35" s="63" t="s">
        <v>216</v>
      </c>
      <c r="B35" s="49" t="s">
        <v>76</v>
      </c>
      <c r="C35" s="56">
        <f t="shared" si="6"/>
        <v>46054</v>
      </c>
      <c r="D35" s="57">
        <v>51</v>
      </c>
      <c r="E35" s="57">
        <v>55</v>
      </c>
      <c r="F35" s="49">
        <f t="shared" si="4"/>
        <v>4</v>
      </c>
      <c r="G35" s="49">
        <v>220</v>
      </c>
      <c r="H35" s="51">
        <f t="shared" si="0"/>
        <v>880</v>
      </c>
      <c r="I35" s="51">
        <v>400</v>
      </c>
      <c r="J35" s="49">
        <v>110</v>
      </c>
      <c r="K35" s="51">
        <f t="shared" si="1"/>
        <v>990</v>
      </c>
      <c r="L35" s="51">
        <v>150</v>
      </c>
      <c r="M35" s="51">
        <v>0</v>
      </c>
      <c r="N35" s="55">
        <f>10000+500</f>
        <v>10500</v>
      </c>
      <c r="O35" s="58">
        <v>677</v>
      </c>
      <c r="P35" s="51">
        <v>0</v>
      </c>
      <c r="Q35" s="51">
        <f t="shared" si="2"/>
        <v>12317</v>
      </c>
      <c r="R35" s="51">
        <v>0</v>
      </c>
      <c r="S35" s="51">
        <f t="shared" si="3"/>
        <v>12317</v>
      </c>
      <c r="T35" s="51"/>
      <c r="U35" s="49"/>
      <c r="V35" s="65">
        <v>33</v>
      </c>
      <c r="W35" s="51">
        <v>11420</v>
      </c>
      <c r="X35" s="59">
        <f t="shared" si="5"/>
        <v>-897</v>
      </c>
      <c r="Y35" s="49"/>
    </row>
    <row r="36" spans="1:255" x14ac:dyDescent="0.5">
      <c r="A36" s="63" t="s">
        <v>194</v>
      </c>
      <c r="B36" s="49" t="s">
        <v>77</v>
      </c>
      <c r="C36" s="56">
        <f t="shared" si="6"/>
        <v>46054</v>
      </c>
      <c r="D36" s="57">
        <v>37</v>
      </c>
      <c r="E36" s="57">
        <v>40</v>
      </c>
      <c r="F36" s="49">
        <f t="shared" si="4"/>
        <v>3</v>
      </c>
      <c r="G36" s="49">
        <v>220</v>
      </c>
      <c r="H36" s="51">
        <f t="shared" si="0"/>
        <v>660</v>
      </c>
      <c r="I36" s="51">
        <v>200</v>
      </c>
      <c r="J36" s="49">
        <v>110</v>
      </c>
      <c r="K36" s="51">
        <f t="shared" si="1"/>
        <v>770</v>
      </c>
      <c r="L36" s="51">
        <v>150</v>
      </c>
      <c r="M36" s="51">
        <v>0</v>
      </c>
      <c r="N36" s="55">
        <f>8500+500</f>
        <v>9000</v>
      </c>
      <c r="O36" s="58"/>
      <c r="P36" s="51">
        <f>'hse1'!E61</f>
        <v>0</v>
      </c>
      <c r="Q36" s="51">
        <f t="shared" si="2"/>
        <v>9920</v>
      </c>
      <c r="R36" s="51">
        <v>0</v>
      </c>
      <c r="S36" s="51">
        <f t="shared" si="3"/>
        <v>9920</v>
      </c>
      <c r="T36" s="51"/>
      <c r="U36" s="49"/>
      <c r="V36" s="65">
        <v>34</v>
      </c>
      <c r="W36" s="51">
        <v>10580</v>
      </c>
      <c r="X36" s="59">
        <f t="shared" si="5"/>
        <v>660</v>
      </c>
      <c r="Y36" s="49"/>
    </row>
    <row r="37" spans="1:255" x14ac:dyDescent="0.5">
      <c r="A37" s="49" t="s">
        <v>219</v>
      </c>
      <c r="B37" s="49" t="s">
        <v>78</v>
      </c>
      <c r="C37" s="56">
        <f t="shared" si="6"/>
        <v>46054</v>
      </c>
      <c r="D37" s="57">
        <v>182</v>
      </c>
      <c r="E37" s="57">
        <v>184</v>
      </c>
      <c r="F37" s="49">
        <f t="shared" si="4"/>
        <v>2</v>
      </c>
      <c r="G37" s="49">
        <v>220</v>
      </c>
      <c r="H37" s="51">
        <f t="shared" si="0"/>
        <v>440</v>
      </c>
      <c r="I37" s="51">
        <v>800</v>
      </c>
      <c r="J37" s="49">
        <v>110</v>
      </c>
      <c r="K37" s="51">
        <f t="shared" si="1"/>
        <v>550</v>
      </c>
      <c r="L37" s="51">
        <v>150</v>
      </c>
      <c r="M37" s="51">
        <v>0</v>
      </c>
      <c r="N37" s="55">
        <f>8500+500</f>
        <v>9000</v>
      </c>
      <c r="O37" s="58">
        <v>677</v>
      </c>
      <c r="P37" s="51">
        <f>'hse1'!E62</f>
        <v>0</v>
      </c>
      <c r="Q37" s="51">
        <f t="shared" si="2"/>
        <v>10377</v>
      </c>
      <c r="R37" s="51">
        <v>0</v>
      </c>
      <c r="S37" s="51">
        <f t="shared" si="3"/>
        <v>10377</v>
      </c>
      <c r="T37" s="51"/>
      <c r="U37" s="49"/>
      <c r="V37" s="65">
        <v>35</v>
      </c>
      <c r="W37" s="51">
        <v>10360</v>
      </c>
      <c r="X37" s="59">
        <f t="shared" si="5"/>
        <v>-17</v>
      </c>
      <c r="Y37" s="49"/>
    </row>
    <row r="38" spans="1:255" x14ac:dyDescent="0.5">
      <c r="A38" s="63" t="s">
        <v>151</v>
      </c>
      <c r="B38" s="49" t="s">
        <v>137</v>
      </c>
      <c r="C38" s="56">
        <f t="shared" si="6"/>
        <v>46054</v>
      </c>
      <c r="D38" s="57">
        <v>154</v>
      </c>
      <c r="E38" s="57">
        <v>154</v>
      </c>
      <c r="F38" s="49">
        <f t="shared" si="4"/>
        <v>0</v>
      </c>
      <c r="G38" s="49">
        <v>220</v>
      </c>
      <c r="H38" s="51">
        <f t="shared" si="0"/>
        <v>0</v>
      </c>
      <c r="I38" s="51">
        <v>600</v>
      </c>
      <c r="J38" s="49">
        <v>110</v>
      </c>
      <c r="K38" s="51">
        <f t="shared" si="1"/>
        <v>110</v>
      </c>
      <c r="L38" s="51">
        <v>150</v>
      </c>
      <c r="M38" s="51">
        <v>0</v>
      </c>
      <c r="N38" s="55">
        <f>8500+500</f>
        <v>9000</v>
      </c>
      <c r="O38" s="58"/>
      <c r="P38" s="51">
        <f>'hse1'!E63</f>
        <v>0</v>
      </c>
      <c r="Q38" s="51">
        <f t="shared" si="2"/>
        <v>9260</v>
      </c>
      <c r="R38" s="51">
        <v>0</v>
      </c>
      <c r="S38" s="51">
        <f>Q38-R38</f>
        <v>9260</v>
      </c>
      <c r="T38" s="51"/>
      <c r="U38" s="49"/>
      <c r="V38" s="65" t="s">
        <v>138</v>
      </c>
      <c r="W38" s="51">
        <v>9700</v>
      </c>
      <c r="X38" s="59">
        <f t="shared" si="5"/>
        <v>440</v>
      </c>
      <c r="Y38" s="49"/>
    </row>
    <row r="39" spans="1:255" s="52" customFormat="1" x14ac:dyDescent="0.5">
      <c r="A39" s="50"/>
      <c r="B39" s="50" t="s">
        <v>42</v>
      </c>
      <c r="C39" s="56"/>
      <c r="D39" s="57"/>
      <c r="E39" s="57"/>
      <c r="F39" s="53">
        <f>SUM(F3:F38)</f>
        <v>101</v>
      </c>
      <c r="G39" s="49">
        <v>220</v>
      </c>
      <c r="H39" s="53">
        <f>SUM(H3:H38)</f>
        <v>22000</v>
      </c>
      <c r="I39" s="53">
        <f>SUM(I3:I38)</f>
        <v>26400</v>
      </c>
      <c r="J39" s="53">
        <f>SUM(J3:J38)</f>
        <v>3960</v>
      </c>
      <c r="K39" s="53">
        <f>SUM(K3:K38)</f>
        <v>25960</v>
      </c>
      <c r="L39" s="53">
        <f>SUM(L3:L38)</f>
        <v>5400</v>
      </c>
      <c r="M39" s="51">
        <v>0</v>
      </c>
      <c r="N39" s="53">
        <f>SUM(N3:N38)</f>
        <v>347000</v>
      </c>
      <c r="O39" s="58"/>
      <c r="P39" s="53">
        <f t="shared" ref="P39:U39" si="7">SUM(P3:P38)</f>
        <v>0</v>
      </c>
      <c r="Q39" s="53">
        <f t="shared" si="7"/>
        <v>390210</v>
      </c>
      <c r="R39" s="53">
        <f t="shared" si="7"/>
        <v>0</v>
      </c>
      <c r="S39" s="53">
        <f t="shared" si="7"/>
        <v>390210</v>
      </c>
      <c r="T39" s="53">
        <f t="shared" si="7"/>
        <v>318.36</v>
      </c>
      <c r="U39" s="53">
        <f t="shared" si="7"/>
        <v>0</v>
      </c>
      <c r="V39" s="53">
        <v>0</v>
      </c>
      <c r="W39" s="51">
        <v>389140</v>
      </c>
      <c r="X39" s="59">
        <f>W39-Q39</f>
        <v>-1070</v>
      </c>
      <c r="Y39" s="50"/>
    </row>
    <row r="40" spans="1:255" x14ac:dyDescent="0.5">
      <c r="A40" s="66"/>
      <c r="B40" s="49" t="s">
        <v>42</v>
      </c>
      <c r="C40" s="49"/>
      <c r="D40" s="49"/>
      <c r="E40" s="49"/>
      <c r="F40" s="49">
        <v>130</v>
      </c>
      <c r="G40" s="49"/>
      <c r="H40" s="51">
        <v>25400</v>
      </c>
      <c r="I40" s="51"/>
      <c r="J40" s="49">
        <v>3850</v>
      </c>
      <c r="K40" s="49">
        <v>29250</v>
      </c>
      <c r="L40" s="49">
        <v>5400</v>
      </c>
      <c r="M40" s="49"/>
      <c r="N40" s="49"/>
      <c r="O40" s="58"/>
      <c r="P40" s="49"/>
      <c r="Q40" s="49">
        <v>391268</v>
      </c>
      <c r="R40" s="49">
        <v>889.27999999999986</v>
      </c>
      <c r="S40" s="49">
        <v>395681.28000000003</v>
      </c>
      <c r="T40" s="49">
        <v>0</v>
      </c>
      <c r="U40" s="49">
        <v>395681.28000000003</v>
      </c>
      <c r="V40" s="67"/>
      <c r="W40" s="53"/>
      <c r="X40" s="59"/>
      <c r="Y40" s="50"/>
    </row>
    <row r="41" spans="1:255" x14ac:dyDescent="0.5">
      <c r="A41" s="49"/>
      <c r="B41" s="49" t="s">
        <v>47</v>
      </c>
      <c r="C41" s="49"/>
      <c r="D41" s="49"/>
      <c r="E41" s="49"/>
      <c r="F41" s="49"/>
      <c r="G41" s="49">
        <v>200</v>
      </c>
      <c r="H41" s="51">
        <f>G43*120</f>
        <v>24000</v>
      </c>
      <c r="I41" s="51"/>
      <c r="J41" s="49" t="s">
        <v>149</v>
      </c>
      <c r="K41" s="49"/>
      <c r="L41" s="49"/>
      <c r="M41" s="49"/>
      <c r="N41" s="49"/>
      <c r="O41" s="58"/>
      <c r="P41" s="49"/>
      <c r="Q41" s="51">
        <v>21000</v>
      </c>
      <c r="R41" s="49"/>
      <c r="S41" s="49"/>
      <c r="T41" s="49"/>
      <c r="U41" s="49" t="s">
        <v>132</v>
      </c>
      <c r="V41" s="51">
        <v>135266</v>
      </c>
      <c r="W41" s="51"/>
      <c r="X41" s="59">
        <f>Q41-W41</f>
        <v>21000</v>
      </c>
      <c r="Y41" s="49"/>
      <c r="AB41" s="46" t="s">
        <v>131</v>
      </c>
    </row>
    <row r="42" spans="1:255" x14ac:dyDescent="0.5">
      <c r="A42" s="49"/>
      <c r="B42" s="49" t="s">
        <v>155</v>
      </c>
      <c r="C42" s="49"/>
      <c r="D42" s="49"/>
      <c r="E42" s="49"/>
      <c r="F42" s="59">
        <f>F41-F40</f>
        <v>-130</v>
      </c>
      <c r="G42" s="49">
        <v>200</v>
      </c>
      <c r="H42" s="51"/>
      <c r="I42" s="51"/>
      <c r="J42" s="49"/>
      <c r="K42" s="49"/>
      <c r="L42" s="49"/>
      <c r="M42" s="49"/>
      <c r="N42" s="49"/>
      <c r="O42" s="58"/>
      <c r="P42" s="49"/>
      <c r="Q42" s="51">
        <v>18000</v>
      </c>
      <c r="R42" s="49"/>
      <c r="S42" s="49"/>
      <c r="T42" s="49"/>
      <c r="U42" s="49"/>
      <c r="V42" s="51"/>
      <c r="W42" s="51"/>
      <c r="X42" s="49"/>
      <c r="Y42" s="49"/>
    </row>
    <row r="43" spans="1:255" x14ac:dyDescent="0.5">
      <c r="A43" s="49"/>
      <c r="B43" s="49" t="s">
        <v>110</v>
      </c>
      <c r="C43" s="49"/>
      <c r="D43" s="49"/>
      <c r="E43" s="49"/>
      <c r="F43" s="49">
        <v>115</v>
      </c>
      <c r="G43" s="49">
        <v>200</v>
      </c>
      <c r="H43" s="51">
        <f>E43*F43</f>
        <v>0</v>
      </c>
      <c r="I43" s="51"/>
      <c r="J43" s="59">
        <f>H39+J39-H43</f>
        <v>25960</v>
      </c>
      <c r="K43" s="49" t="s">
        <v>126</v>
      </c>
      <c r="L43" s="49"/>
      <c r="M43" s="49"/>
      <c r="N43" s="49"/>
      <c r="O43" s="58"/>
      <c r="P43" s="49"/>
      <c r="Q43" s="51">
        <v>185000</v>
      </c>
      <c r="R43" s="49"/>
      <c r="S43" s="49"/>
      <c r="T43" s="49"/>
      <c r="U43" s="49"/>
      <c r="V43" s="51"/>
      <c r="W43" s="51"/>
      <c r="X43" s="49"/>
      <c r="Y43" s="49"/>
    </row>
    <row r="44" spans="1:255" s="79" customFormat="1" x14ac:dyDescent="0.5">
      <c r="A44" s="80"/>
      <c r="B44" s="80" t="s">
        <v>111</v>
      </c>
      <c r="C44" s="80"/>
      <c r="D44" s="81"/>
      <c r="E44" s="81"/>
      <c r="F44" s="80">
        <f>E44-D44</f>
        <v>0</v>
      </c>
      <c r="G44" s="80"/>
      <c r="H44" s="82"/>
      <c r="I44" s="82"/>
      <c r="J44" s="80" t="s">
        <v>94</v>
      </c>
      <c r="K44" s="80"/>
      <c r="L44" s="80"/>
      <c r="M44" s="81">
        <f>H45-J43</f>
        <v>-25960</v>
      </c>
      <c r="N44" s="80"/>
      <c r="O44" s="80">
        <f>SUM(O43-O39)</f>
        <v>0</v>
      </c>
      <c r="P44" s="80"/>
      <c r="Q44" s="82">
        <v>155000</v>
      </c>
      <c r="R44" s="80"/>
      <c r="S44" s="80"/>
      <c r="T44" s="80"/>
      <c r="U44" s="80"/>
      <c r="V44" s="82">
        <v>20000</v>
      </c>
      <c r="W44" s="82" t="s">
        <v>39</v>
      </c>
      <c r="X44" s="80"/>
      <c r="Y44" s="80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83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  <c r="HP44" s="83"/>
      <c r="HQ44" s="83"/>
      <c r="HR44" s="83"/>
      <c r="HS44" s="83"/>
      <c r="HT44" s="83"/>
      <c r="HU44" s="83"/>
      <c r="HV44" s="83"/>
      <c r="HW44" s="83"/>
      <c r="HX44" s="83"/>
      <c r="HY44" s="83"/>
      <c r="HZ44" s="83"/>
      <c r="IA44" s="83"/>
      <c r="IB44" s="83"/>
      <c r="IC44" s="83"/>
      <c r="ID44" s="83"/>
      <c r="IE44" s="83"/>
      <c r="IF44" s="83"/>
      <c r="IG44" s="83"/>
      <c r="IH44" s="83"/>
      <c r="II44" s="83"/>
      <c r="IJ44" s="83"/>
      <c r="IK44" s="83"/>
      <c r="IL44" s="83"/>
      <c r="IM44" s="83"/>
      <c r="IN44" s="83"/>
      <c r="IO44" s="83"/>
      <c r="IP44" s="83"/>
      <c r="IQ44" s="83"/>
      <c r="IR44" s="83"/>
      <c r="IS44" s="83"/>
      <c r="IT44" s="83"/>
      <c r="IU44" s="83"/>
    </row>
    <row r="45" spans="1:255" s="79" customFormat="1" ht="32.65" customHeight="1" x14ac:dyDescent="0.5">
      <c r="A45" s="80"/>
      <c r="B45" s="80" t="s">
        <v>172</v>
      </c>
      <c r="C45" s="80"/>
      <c r="D45" s="80"/>
      <c r="E45" s="80"/>
      <c r="F45" s="80"/>
      <c r="G45" s="80">
        <v>4</v>
      </c>
      <c r="H45" s="82">
        <f>H43+H44</f>
        <v>0</v>
      </c>
      <c r="I45" s="82"/>
      <c r="J45" s="80"/>
      <c r="K45" s="80"/>
      <c r="L45" s="80"/>
      <c r="M45" s="80"/>
      <c r="N45" s="80"/>
      <c r="O45" s="80"/>
      <c r="P45" s="80"/>
      <c r="Q45" s="81">
        <f>Q41+Q42+Q43+Q44</f>
        <v>379000</v>
      </c>
      <c r="R45" s="80" t="s">
        <v>80</v>
      </c>
      <c r="S45" s="80"/>
      <c r="T45" s="80"/>
      <c r="U45" s="80"/>
      <c r="V45" s="82"/>
      <c r="W45" s="82"/>
      <c r="X45" s="80"/>
      <c r="Y45" s="80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  <c r="FU45" s="83"/>
      <c r="FV45" s="83"/>
      <c r="FW45" s="83"/>
      <c r="FX45" s="83"/>
      <c r="FY45" s="83"/>
      <c r="FZ45" s="83"/>
      <c r="GA45" s="83"/>
      <c r="GB45" s="83"/>
      <c r="GC45" s="83"/>
      <c r="GD45" s="83"/>
      <c r="GE45" s="83"/>
      <c r="GF45" s="83"/>
      <c r="GG45" s="83"/>
      <c r="GH45" s="83"/>
      <c r="GI45" s="83"/>
      <c r="GJ45" s="83"/>
      <c r="GK45" s="83"/>
      <c r="GL45" s="83"/>
      <c r="GM45" s="83"/>
      <c r="GN45" s="83"/>
      <c r="GO45" s="83"/>
      <c r="GP45" s="83"/>
      <c r="GQ45" s="83"/>
      <c r="GR45" s="83"/>
      <c r="GS45" s="83"/>
      <c r="GT45" s="83"/>
      <c r="GU45" s="83"/>
      <c r="GV45" s="83"/>
      <c r="GW45" s="83"/>
      <c r="GX45" s="83"/>
      <c r="GY45" s="83"/>
      <c r="GZ45" s="83"/>
      <c r="HA45" s="83"/>
      <c r="HB45" s="83"/>
      <c r="HC45" s="83"/>
      <c r="HD45" s="83"/>
      <c r="HE45" s="83"/>
      <c r="HF45" s="83"/>
      <c r="HG45" s="83"/>
      <c r="HH45" s="83"/>
      <c r="HI45" s="83"/>
      <c r="HJ45" s="83"/>
      <c r="HK45" s="83"/>
      <c r="HL45" s="83"/>
      <c r="HM45" s="83"/>
      <c r="HN45" s="83"/>
      <c r="HO45" s="83"/>
      <c r="HP45" s="83"/>
      <c r="HQ45" s="83"/>
      <c r="HR45" s="83"/>
      <c r="HS45" s="83"/>
      <c r="HT45" s="83"/>
      <c r="HU45" s="83"/>
      <c r="HV45" s="83"/>
      <c r="HW45" s="83"/>
      <c r="HX45" s="83"/>
      <c r="HY45" s="83"/>
      <c r="HZ45" s="83"/>
      <c r="IA45" s="83"/>
      <c r="IB45" s="83"/>
      <c r="IC45" s="83"/>
      <c r="ID45" s="83"/>
      <c r="IE45" s="83"/>
      <c r="IF45" s="83"/>
      <c r="IG45" s="83"/>
      <c r="IH45" s="83"/>
      <c r="II45" s="83"/>
      <c r="IJ45" s="83"/>
      <c r="IK45" s="83"/>
      <c r="IL45" s="83"/>
      <c r="IM45" s="83"/>
      <c r="IN45" s="83"/>
      <c r="IO45" s="83"/>
      <c r="IP45" s="83"/>
      <c r="IQ45" s="83"/>
      <c r="IR45" s="83"/>
      <c r="IS45" s="83"/>
      <c r="IT45" s="83"/>
      <c r="IU45" s="83"/>
    </row>
    <row r="46" spans="1:255" s="79" customFormat="1" x14ac:dyDescent="0.5">
      <c r="A46" s="80"/>
      <c r="B46" s="80" t="s">
        <v>168</v>
      </c>
      <c r="C46" s="80"/>
      <c r="D46" s="80"/>
      <c r="E46" s="80"/>
      <c r="F46" s="80"/>
      <c r="G46" s="81">
        <f>F42-G47-G45-G43</f>
        <v>-435</v>
      </c>
      <c r="H46" s="82" t="s">
        <v>169</v>
      </c>
      <c r="I46" s="82"/>
      <c r="J46" s="82">
        <f>G46*120</f>
        <v>-52200</v>
      </c>
      <c r="K46" s="80"/>
      <c r="L46" s="80"/>
      <c r="M46" s="80"/>
      <c r="N46" s="80"/>
      <c r="O46" s="80"/>
      <c r="P46" s="80"/>
      <c r="Q46" s="81">
        <f>Q39-Q45</f>
        <v>11210</v>
      </c>
      <c r="R46" s="80" t="s">
        <v>14</v>
      </c>
      <c r="S46" s="80"/>
      <c r="T46" s="80"/>
      <c r="U46" s="80"/>
      <c r="V46" s="82"/>
      <c r="W46" s="82"/>
      <c r="X46" s="80"/>
      <c r="Y46" s="80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83"/>
      <c r="HO46" s="83"/>
      <c r="HP46" s="83"/>
      <c r="HQ46" s="83"/>
      <c r="HR46" s="83"/>
      <c r="HS46" s="83"/>
      <c r="HT46" s="83"/>
      <c r="HU46" s="83"/>
      <c r="HV46" s="83"/>
      <c r="HW46" s="83"/>
      <c r="HX46" s="83"/>
      <c r="HY46" s="83"/>
      <c r="HZ46" s="83"/>
      <c r="IA46" s="83"/>
      <c r="IB46" s="83"/>
      <c r="IC46" s="83"/>
      <c r="ID46" s="83"/>
      <c r="IE46" s="83"/>
      <c r="IF46" s="83"/>
      <c r="IG46" s="83"/>
      <c r="IH46" s="83"/>
      <c r="II46" s="83"/>
      <c r="IJ46" s="83"/>
      <c r="IK46" s="83"/>
      <c r="IL46" s="83"/>
      <c r="IM46" s="83"/>
      <c r="IN46" s="83"/>
      <c r="IO46" s="83"/>
      <c r="IP46" s="83"/>
      <c r="IQ46" s="83"/>
      <c r="IR46" s="83"/>
      <c r="IS46" s="83"/>
      <c r="IT46" s="83"/>
      <c r="IU46" s="83"/>
    </row>
    <row r="47" spans="1:255" s="79" customFormat="1" x14ac:dyDescent="0.5">
      <c r="A47" s="80"/>
      <c r="B47" s="80" t="s">
        <v>161</v>
      </c>
      <c r="C47" s="80"/>
      <c r="D47" s="80"/>
      <c r="E47" s="80"/>
      <c r="F47" s="80"/>
      <c r="G47" s="80">
        <f>F39</f>
        <v>101</v>
      </c>
      <c r="H47" s="82"/>
      <c r="I47" s="82"/>
      <c r="J47" s="80"/>
      <c r="K47" s="80"/>
      <c r="L47" s="80"/>
      <c r="M47" s="80"/>
      <c r="N47" s="80"/>
      <c r="O47" s="80"/>
      <c r="P47" s="80"/>
      <c r="Q47" s="80"/>
      <c r="R47" s="80" t="s">
        <v>15</v>
      </c>
      <c r="S47" s="80"/>
      <c r="T47" s="80"/>
      <c r="U47" s="80"/>
      <c r="V47" s="82"/>
      <c r="W47" s="82"/>
      <c r="X47" s="80"/>
      <c r="Y47" s="80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83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  <c r="HP47" s="83"/>
      <c r="HQ47" s="83"/>
      <c r="HR47" s="83"/>
      <c r="HS47" s="83"/>
      <c r="HT47" s="83"/>
      <c r="HU47" s="83"/>
      <c r="HV47" s="83"/>
      <c r="HW47" s="83"/>
      <c r="HX47" s="83"/>
      <c r="HY47" s="83"/>
      <c r="HZ47" s="83"/>
      <c r="IA47" s="83"/>
      <c r="IB47" s="83"/>
      <c r="IC47" s="83"/>
      <c r="ID47" s="83"/>
      <c r="IE47" s="83"/>
      <c r="IF47" s="83"/>
      <c r="IG47" s="83"/>
      <c r="IH47" s="83"/>
      <c r="II47" s="83"/>
      <c r="IJ47" s="83"/>
      <c r="IK47" s="83"/>
      <c r="IL47" s="83"/>
      <c r="IM47" s="83"/>
      <c r="IN47" s="83"/>
      <c r="IO47" s="83"/>
      <c r="IP47" s="83"/>
      <c r="IQ47" s="83"/>
      <c r="IR47" s="83"/>
      <c r="IS47" s="83"/>
      <c r="IT47" s="83"/>
      <c r="IU47" s="83"/>
    </row>
    <row r="48" spans="1:255" s="79" customFormat="1" x14ac:dyDescent="0.5">
      <c r="A48" s="80"/>
      <c r="B48" s="80"/>
      <c r="C48" s="80"/>
      <c r="D48" s="80"/>
      <c r="E48" s="80"/>
      <c r="F48" s="81">
        <f>F39</f>
        <v>101</v>
      </c>
      <c r="G48" s="81">
        <f>F48*G38</f>
        <v>22220</v>
      </c>
      <c r="H48" s="82">
        <v>16065</v>
      </c>
      <c r="I48" s="82"/>
      <c r="J48" s="80" t="s">
        <v>197</v>
      </c>
      <c r="K48" s="80"/>
      <c r="L48" s="80"/>
      <c r="M48" s="80"/>
      <c r="N48" s="80"/>
      <c r="O48" s="80"/>
      <c r="P48" s="80"/>
      <c r="Q48" s="80"/>
      <c r="R48" s="80" t="s">
        <v>130</v>
      </c>
      <c r="S48" s="80"/>
      <c r="T48" s="80"/>
      <c r="U48" s="80" t="s">
        <v>54</v>
      </c>
      <c r="V48" s="82"/>
      <c r="W48" s="82" t="s">
        <v>141</v>
      </c>
      <c r="X48" s="80"/>
      <c r="Y48" s="80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  <c r="GB48" s="83"/>
      <c r="GC48" s="83"/>
      <c r="GD48" s="83"/>
      <c r="GE48" s="83"/>
      <c r="GF48" s="83"/>
      <c r="GG48" s="83"/>
      <c r="GH48" s="83"/>
      <c r="GI48" s="83"/>
      <c r="GJ48" s="83"/>
      <c r="GK48" s="83"/>
      <c r="GL48" s="83"/>
      <c r="GM48" s="83"/>
      <c r="GN48" s="83"/>
      <c r="GO48" s="83"/>
      <c r="GP48" s="83"/>
      <c r="GQ48" s="83"/>
      <c r="GR48" s="83"/>
      <c r="GS48" s="83"/>
      <c r="GT48" s="83"/>
      <c r="GU48" s="83"/>
      <c r="GV48" s="83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/>
      <c r="HN48" s="83"/>
      <c r="HO48" s="83"/>
      <c r="HP48" s="83"/>
      <c r="HQ48" s="83"/>
      <c r="HR48" s="83"/>
      <c r="HS48" s="83"/>
      <c r="HT48" s="83"/>
      <c r="HU48" s="83"/>
      <c r="HV48" s="83"/>
      <c r="HW48" s="83"/>
      <c r="HX48" s="83"/>
      <c r="HY48" s="83"/>
      <c r="HZ48" s="83"/>
      <c r="IA48" s="83"/>
      <c r="IB48" s="83"/>
      <c r="IC48" s="83"/>
      <c r="ID48" s="83"/>
      <c r="IE48" s="83"/>
      <c r="IF48" s="83"/>
      <c r="IG48" s="83"/>
      <c r="IH48" s="83"/>
      <c r="II48" s="83"/>
      <c r="IJ48" s="83"/>
      <c r="IK48" s="83"/>
      <c r="IL48" s="83"/>
      <c r="IM48" s="83"/>
      <c r="IN48" s="83"/>
      <c r="IO48" s="83"/>
      <c r="IP48" s="83"/>
      <c r="IQ48" s="83"/>
      <c r="IR48" s="83"/>
      <c r="IS48" s="83"/>
      <c r="IT48" s="83"/>
      <c r="IU48" s="83"/>
    </row>
    <row r="49" spans="1:22" x14ac:dyDescent="0.5">
      <c r="A49" s="72" t="s">
        <v>196</v>
      </c>
      <c r="F49" s="61"/>
      <c r="O49" s="46" t="s">
        <v>185</v>
      </c>
      <c r="V49" s="54"/>
    </row>
    <row r="50" spans="1:22" x14ac:dyDescent="0.5">
      <c r="F50" s="61">
        <f>E53-F39</f>
        <v>-101</v>
      </c>
      <c r="H50" s="47">
        <f>216</f>
        <v>216</v>
      </c>
      <c r="K50" s="46" t="s">
        <v>145</v>
      </c>
      <c r="V50" s="47"/>
    </row>
    <row r="51" spans="1:22" x14ac:dyDescent="0.5">
      <c r="F51" s="46">
        <f>F50*F53</f>
        <v>-11615</v>
      </c>
      <c r="G51" s="61">
        <f>E53*F53</f>
        <v>0</v>
      </c>
      <c r="H51" s="47">
        <f>H48/H50</f>
        <v>74.375</v>
      </c>
      <c r="U51" s="47"/>
      <c r="V51" s="47"/>
    </row>
    <row r="52" spans="1:22" x14ac:dyDescent="0.5">
      <c r="U52" s="47"/>
      <c r="V52" s="61"/>
    </row>
    <row r="53" spans="1:22" x14ac:dyDescent="0.5">
      <c r="F53" s="61">
        <v>115</v>
      </c>
      <c r="G53" s="61">
        <f>F53*E53</f>
        <v>0</v>
      </c>
      <c r="H53" s="47">
        <f>E53*F53</f>
        <v>0</v>
      </c>
      <c r="U53" s="47"/>
      <c r="V53" s="47"/>
    </row>
    <row r="54" spans="1:22" x14ac:dyDescent="0.5">
      <c r="F54" s="46">
        <v>130</v>
      </c>
      <c r="H54" s="47">
        <f>E54*F54</f>
        <v>0</v>
      </c>
      <c r="J54" s="46">
        <f>E53-F39</f>
        <v>-101</v>
      </c>
      <c r="M54" s="68">
        <v>23310</v>
      </c>
      <c r="N54" s="46" t="s">
        <v>148</v>
      </c>
      <c r="U54" s="47"/>
      <c r="V54" s="61"/>
    </row>
    <row r="55" spans="1:22" x14ac:dyDescent="0.5">
      <c r="U55" s="47"/>
    </row>
    <row r="56" spans="1:22" x14ac:dyDescent="0.5">
      <c r="U56" s="47"/>
      <c r="V56" s="61"/>
    </row>
    <row r="57" spans="1:22" x14ac:dyDescent="0.5">
      <c r="U57" s="47"/>
      <c r="V57" s="47"/>
    </row>
    <row r="58" spans="1:22" x14ac:dyDescent="0.5">
      <c r="U58" s="47"/>
      <c r="V58" s="47"/>
    </row>
    <row r="59" spans="1:22" x14ac:dyDescent="0.5">
      <c r="U59" s="61"/>
      <c r="V59" s="47"/>
    </row>
    <row r="60" spans="1:22" x14ac:dyDescent="0.5">
      <c r="V60" s="47"/>
    </row>
    <row r="61" spans="1:22" x14ac:dyDescent="0.5">
      <c r="V61" s="47"/>
    </row>
    <row r="62" spans="1:22" x14ac:dyDescent="0.5">
      <c r="O62" s="46" t="s">
        <v>134</v>
      </c>
      <c r="P62" s="46" t="s">
        <v>135</v>
      </c>
      <c r="Q62" s="69">
        <v>79802.899999999994</v>
      </c>
    </row>
    <row r="63" spans="1:22" x14ac:dyDescent="0.5">
      <c r="O63" s="46" t="s">
        <v>133</v>
      </c>
      <c r="Q63" s="69">
        <v>49425.4</v>
      </c>
    </row>
    <row r="64" spans="1:22" x14ac:dyDescent="0.5">
      <c r="O64" s="46" t="s">
        <v>136</v>
      </c>
      <c r="Q64" s="69">
        <v>971265.95</v>
      </c>
    </row>
    <row r="65" spans="17:17" s="46" customFormat="1" x14ac:dyDescent="0.5">
      <c r="Q65" s="69"/>
    </row>
    <row r="66" spans="17:17" s="46" customFormat="1" x14ac:dyDescent="0.5">
      <c r="Q66" s="69"/>
    </row>
    <row r="67" spans="17:17" s="46" customFormat="1" x14ac:dyDescent="0.5">
      <c r="Q67" s="69"/>
    </row>
  </sheetData>
  <phoneticPr fontId="26" type="noConversion"/>
  <pageMargins left="0.7" right="0.7" top="0.75" bottom="0.75" header="0.3" footer="0.3"/>
  <pageSetup paperSize="9" scale="41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6441-1378-4EF0-9B28-034B3774CB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L16:M22"/>
  <sheetViews>
    <sheetView workbookViewId="0">
      <selection activeCell="D12" sqref="D12"/>
    </sheetView>
  </sheetViews>
  <sheetFormatPr defaultColWidth="9" defaultRowHeight="14.5" x14ac:dyDescent="0.35"/>
  <sheetData>
    <row r="16" spans="12:12" x14ac:dyDescent="0.35">
      <c r="L16">
        <v>101456</v>
      </c>
    </row>
    <row r="17" spans="12:13" x14ac:dyDescent="0.35">
      <c r="L17">
        <v>21</v>
      </c>
    </row>
    <row r="18" spans="12:13" x14ac:dyDescent="0.35">
      <c r="L18">
        <v>1364</v>
      </c>
    </row>
    <row r="19" spans="12:13" x14ac:dyDescent="0.35">
      <c r="L19">
        <v>81411</v>
      </c>
      <c r="M19" t="s">
        <v>152</v>
      </c>
    </row>
    <row r="21" spans="12:13" x14ac:dyDescent="0.35">
      <c r="L21">
        <f>L16-L19</f>
        <v>20045</v>
      </c>
    </row>
    <row r="22" spans="12:13" x14ac:dyDescent="0.35">
      <c r="L22">
        <f>L19-55000</f>
        <v>26411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E1:K45"/>
  <sheetViews>
    <sheetView workbookViewId="0">
      <selection activeCell="J2" sqref="J2"/>
    </sheetView>
  </sheetViews>
  <sheetFormatPr defaultColWidth="9" defaultRowHeight="14.5" x14ac:dyDescent="0.35"/>
  <cols>
    <col min="1" max="4" width="10" customWidth="1"/>
    <col min="5" max="5" width="11.54296875" style="70" customWidth="1"/>
    <col min="6" max="8" width="10" customWidth="1"/>
    <col min="9" max="9" width="10.54296875" style="70" customWidth="1"/>
    <col min="10" max="11" width="9.1796875" style="70" customWidth="1"/>
    <col min="12" max="256" width="10" customWidth="1"/>
  </cols>
  <sheetData>
    <row r="1" spans="9:11" x14ac:dyDescent="0.35">
      <c r="I1" s="70" t="s">
        <v>156</v>
      </c>
      <c r="J1" s="70" t="s">
        <v>157</v>
      </c>
      <c r="K1" s="70" t="s">
        <v>158</v>
      </c>
    </row>
    <row r="2" spans="9:11" x14ac:dyDescent="0.35">
      <c r="I2" s="70">
        <v>8300</v>
      </c>
      <c r="J2" s="70">
        <v>21000</v>
      </c>
      <c r="K2" s="70">
        <v>9962</v>
      </c>
    </row>
    <row r="3" spans="9:11" x14ac:dyDescent="0.35">
      <c r="I3" s="70">
        <v>9608</v>
      </c>
      <c r="J3" s="70">
        <v>9962</v>
      </c>
      <c r="K3" s="70">
        <v>10623</v>
      </c>
    </row>
    <row r="4" spans="9:11" x14ac:dyDescent="0.35">
      <c r="I4" s="70">
        <v>9608</v>
      </c>
      <c r="J4" s="70">
        <v>11039</v>
      </c>
      <c r="K4" s="70">
        <v>8510</v>
      </c>
    </row>
    <row r="5" spans="9:11" x14ac:dyDescent="0.35">
      <c r="I5" s="70">
        <v>7525</v>
      </c>
      <c r="J5" s="70">
        <v>10117</v>
      </c>
      <c r="K5" s="70">
        <v>10100</v>
      </c>
    </row>
    <row r="6" spans="9:11" x14ac:dyDescent="0.35">
      <c r="I6" s="70">
        <v>11000</v>
      </c>
      <c r="J6" s="70">
        <v>10778</v>
      </c>
    </row>
    <row r="7" spans="9:11" x14ac:dyDescent="0.35">
      <c r="I7" s="70">
        <v>8985</v>
      </c>
      <c r="J7" s="70">
        <v>10750</v>
      </c>
    </row>
    <row r="8" spans="9:11" x14ac:dyDescent="0.35">
      <c r="I8" s="70">
        <v>7857</v>
      </c>
      <c r="J8" s="70">
        <v>8510</v>
      </c>
    </row>
    <row r="9" spans="9:11" x14ac:dyDescent="0.35">
      <c r="I9" s="70">
        <v>6000</v>
      </c>
      <c r="J9" s="70">
        <v>11230</v>
      </c>
    </row>
    <row r="10" spans="9:11" x14ac:dyDescent="0.35">
      <c r="I10" s="70">
        <v>9005</v>
      </c>
      <c r="J10" s="70">
        <v>8500</v>
      </c>
    </row>
    <row r="11" spans="9:11" x14ac:dyDescent="0.35">
      <c r="I11" s="70">
        <v>10665</v>
      </c>
      <c r="J11" s="70">
        <v>10590</v>
      </c>
    </row>
    <row r="12" spans="9:11" x14ac:dyDescent="0.35">
      <c r="I12" s="70">
        <v>9335</v>
      </c>
      <c r="J12" s="70">
        <v>10400</v>
      </c>
    </row>
    <row r="13" spans="9:11" x14ac:dyDescent="0.35">
      <c r="I13" s="70">
        <v>8040</v>
      </c>
      <c r="J13" s="70">
        <v>10000</v>
      </c>
    </row>
    <row r="14" spans="9:11" x14ac:dyDescent="0.35">
      <c r="I14" s="70">
        <v>8000</v>
      </c>
      <c r="J14" s="70">
        <v>10840</v>
      </c>
    </row>
    <row r="15" spans="9:11" x14ac:dyDescent="0.35">
      <c r="I15" s="70">
        <v>10560</v>
      </c>
      <c r="J15" s="70">
        <v>10200</v>
      </c>
      <c r="K15" s="70">
        <v>11200</v>
      </c>
    </row>
    <row r="16" spans="9:11" x14ac:dyDescent="0.35">
      <c r="I16" s="70">
        <v>11000</v>
      </c>
      <c r="J16" s="70">
        <v>10225</v>
      </c>
      <c r="K16" s="70">
        <v>11360</v>
      </c>
    </row>
    <row r="17" spans="9:11" x14ac:dyDescent="0.35">
      <c r="I17" s="70">
        <v>9421</v>
      </c>
      <c r="J17" s="70">
        <v>9000</v>
      </c>
      <c r="K17" s="70">
        <v>9787</v>
      </c>
    </row>
    <row r="18" spans="9:11" x14ac:dyDescent="0.35">
      <c r="I18" s="70">
        <v>10000</v>
      </c>
      <c r="J18" s="70">
        <v>9945</v>
      </c>
      <c r="K18" s="70">
        <v>9130</v>
      </c>
    </row>
    <row r="19" spans="9:11" x14ac:dyDescent="0.35">
      <c r="I19" s="70">
        <v>10700</v>
      </c>
      <c r="J19" s="70">
        <v>10000</v>
      </c>
      <c r="K19" s="70">
        <v>10250</v>
      </c>
    </row>
    <row r="20" spans="9:11" x14ac:dyDescent="0.35">
      <c r="I20" s="70">
        <v>10055</v>
      </c>
      <c r="J20" s="70">
        <v>5000</v>
      </c>
      <c r="K20" s="70">
        <v>10740</v>
      </c>
    </row>
    <row r="21" spans="9:11" x14ac:dyDescent="0.35">
      <c r="I21" s="70">
        <v>10200</v>
      </c>
      <c r="J21" s="70">
        <v>8900</v>
      </c>
      <c r="K21" s="70">
        <v>10910</v>
      </c>
    </row>
    <row r="22" spans="9:11" x14ac:dyDescent="0.35">
      <c r="I22" s="70">
        <v>1977</v>
      </c>
      <c r="J22" s="70">
        <v>9962</v>
      </c>
      <c r="K22" s="70">
        <v>9000</v>
      </c>
    </row>
    <row r="23" spans="9:11" x14ac:dyDescent="0.35">
      <c r="I23" s="70">
        <v>10155</v>
      </c>
      <c r="J23" s="70">
        <v>10583</v>
      </c>
      <c r="K23" s="70">
        <v>10353</v>
      </c>
    </row>
    <row r="24" spans="9:11" x14ac:dyDescent="0.35">
      <c r="I24" s="70">
        <v>10000</v>
      </c>
      <c r="J24" s="70">
        <v>11200</v>
      </c>
      <c r="K24" s="70">
        <v>10910</v>
      </c>
    </row>
    <row r="25" spans="9:11" x14ac:dyDescent="0.35">
      <c r="I25" s="70">
        <v>8000</v>
      </c>
      <c r="J25" s="70">
        <v>9930</v>
      </c>
      <c r="K25" s="70">
        <v>8930</v>
      </c>
    </row>
    <row r="26" spans="9:11" x14ac:dyDescent="0.35">
      <c r="I26" s="70">
        <v>9925</v>
      </c>
      <c r="J26" s="70">
        <v>8662</v>
      </c>
      <c r="K26" s="70">
        <v>1200</v>
      </c>
    </row>
    <row r="27" spans="9:11" x14ac:dyDescent="0.35">
      <c r="I27" s="70">
        <v>9840</v>
      </c>
      <c r="J27" s="70">
        <v>11300</v>
      </c>
      <c r="K27" s="70">
        <v>8770</v>
      </c>
    </row>
    <row r="28" spans="9:11" x14ac:dyDescent="0.35">
      <c r="I28" s="70">
        <v>8755</v>
      </c>
      <c r="J28" s="70">
        <v>2200</v>
      </c>
      <c r="K28" s="70">
        <v>10009</v>
      </c>
    </row>
    <row r="29" spans="9:11" x14ac:dyDescent="0.35">
      <c r="I29" s="70">
        <v>3000</v>
      </c>
      <c r="J29" s="70">
        <v>5200</v>
      </c>
      <c r="K29" s="70">
        <v>10300</v>
      </c>
    </row>
    <row r="30" spans="9:11" x14ac:dyDescent="0.35">
      <c r="I30" s="70">
        <v>8000</v>
      </c>
      <c r="J30" s="70">
        <v>10910</v>
      </c>
      <c r="K30" s="70">
        <v>8930</v>
      </c>
    </row>
    <row r="31" spans="9:11" x14ac:dyDescent="0.35">
      <c r="I31" s="70">
        <v>10000</v>
      </c>
      <c r="J31" s="70">
        <v>9400</v>
      </c>
      <c r="K31" s="70">
        <v>11230</v>
      </c>
    </row>
    <row r="32" spans="9:11" x14ac:dyDescent="0.35">
      <c r="I32" s="70">
        <v>10000</v>
      </c>
      <c r="J32" s="70">
        <v>10860</v>
      </c>
      <c r="K32" s="70">
        <v>6000</v>
      </c>
    </row>
    <row r="33" spans="5:11" x14ac:dyDescent="0.35">
      <c r="I33" s="70">
        <v>5520</v>
      </c>
      <c r="K33" s="70">
        <v>8500</v>
      </c>
    </row>
    <row r="34" spans="5:11" x14ac:dyDescent="0.35">
      <c r="I34" s="70">
        <v>9805</v>
      </c>
      <c r="K34" s="70">
        <v>10430</v>
      </c>
    </row>
    <row r="35" spans="5:11" x14ac:dyDescent="0.35">
      <c r="I35" s="70">
        <v>20000</v>
      </c>
      <c r="K35" s="70">
        <v>10000</v>
      </c>
    </row>
    <row r="36" spans="5:11" x14ac:dyDescent="0.35">
      <c r="E36" s="70">
        <v>119472</v>
      </c>
      <c r="I36" s="70">
        <v>7000</v>
      </c>
      <c r="K36" s="70">
        <v>10000</v>
      </c>
    </row>
    <row r="37" spans="5:11" x14ac:dyDescent="0.35">
      <c r="E37" s="70">
        <v>64399</v>
      </c>
      <c r="I37" s="70">
        <v>5000</v>
      </c>
      <c r="K37" s="70">
        <v>11000</v>
      </c>
    </row>
    <row r="38" spans="5:11" x14ac:dyDescent="0.35">
      <c r="E38" s="70">
        <f>SUM(E36:E37)</f>
        <v>183871</v>
      </c>
      <c r="I38" s="70">
        <v>20000</v>
      </c>
      <c r="K38" s="70">
        <v>8950</v>
      </c>
    </row>
    <row r="39" spans="5:11" x14ac:dyDescent="0.35">
      <c r="I39" s="70">
        <v>13000</v>
      </c>
      <c r="K39" s="70">
        <v>11230</v>
      </c>
    </row>
    <row r="40" spans="5:11" x14ac:dyDescent="0.35">
      <c r="I40" s="70">
        <v>10910</v>
      </c>
      <c r="K40" s="70">
        <v>400</v>
      </c>
    </row>
    <row r="41" spans="5:11" x14ac:dyDescent="0.35">
      <c r="K41" s="70">
        <v>7800</v>
      </c>
    </row>
    <row r="42" spans="5:11" x14ac:dyDescent="0.35">
      <c r="K42" s="70">
        <v>1000</v>
      </c>
    </row>
    <row r="43" spans="5:11" x14ac:dyDescent="0.35">
      <c r="K43" s="70">
        <v>8000</v>
      </c>
    </row>
    <row r="44" spans="5:11" x14ac:dyDescent="0.35">
      <c r="K44" s="70">
        <v>6294</v>
      </c>
    </row>
    <row r="45" spans="5:11" x14ac:dyDescent="0.35">
      <c r="I45" s="71">
        <f>SUM(I2:I44)</f>
        <v>366751</v>
      </c>
      <c r="J45" s="71">
        <f>SUM(J2:J44)</f>
        <v>307193</v>
      </c>
      <c r="K45" s="71">
        <f>SUM(K2:K44)</f>
        <v>301808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37</vt:i4>
      </vt:variant>
    </vt:vector>
  </HeadingPairs>
  <TitlesOfParts>
    <vt:vector size="78" baseType="lpstr">
      <vt:lpstr>hse1</vt:lpstr>
      <vt:lpstr>hse2</vt:lpstr>
      <vt:lpstr>hse3</vt:lpstr>
      <vt:lpstr>hse4</vt:lpstr>
      <vt:lpstr>hse5</vt:lpstr>
      <vt:lpstr>hse6B</vt:lpstr>
      <vt:lpstr>hse7B</vt:lpstr>
      <vt:lpstr>hse8</vt:lpstr>
      <vt:lpstr>hse9</vt:lpstr>
      <vt:lpstr>hse10</vt:lpstr>
      <vt:lpstr>hse11</vt:lpstr>
      <vt:lpstr>hse12</vt:lpstr>
      <vt:lpstr>hse13B</vt:lpstr>
      <vt:lpstr>hse14B</vt:lpstr>
      <vt:lpstr>hse 15</vt:lpstr>
      <vt:lpstr>hse16</vt:lpstr>
      <vt:lpstr>hse17</vt:lpstr>
      <vt:lpstr>hse18</vt:lpstr>
      <vt:lpstr>hse19</vt:lpstr>
      <vt:lpstr>hse20B</vt:lpstr>
      <vt:lpstr>hse21B</vt:lpstr>
      <vt:lpstr>hse22</vt:lpstr>
      <vt:lpstr>hse23</vt:lpstr>
      <vt:lpstr>hse24</vt:lpstr>
      <vt:lpstr>hse25</vt:lpstr>
      <vt:lpstr>hse26</vt:lpstr>
      <vt:lpstr>hse27B</vt:lpstr>
      <vt:lpstr>hse28B</vt:lpstr>
      <vt:lpstr>hse29</vt:lpstr>
      <vt:lpstr>hse30</vt:lpstr>
      <vt:lpstr>hse31</vt:lpstr>
      <vt:lpstr>hse32</vt:lpstr>
      <vt:lpstr>hse33</vt:lpstr>
      <vt:lpstr>hse34B</vt:lpstr>
      <vt:lpstr>hse35B</vt:lpstr>
      <vt:lpstr>36B.</vt:lpstr>
      <vt:lpstr>meter</vt:lpstr>
      <vt:lpstr>Sheet3</vt:lpstr>
      <vt:lpstr>Sheet4</vt:lpstr>
      <vt:lpstr>Sheet1</vt:lpstr>
      <vt:lpstr>Sheet2</vt:lpstr>
      <vt:lpstr>'36B.'!Print_Area</vt:lpstr>
      <vt:lpstr>'hse 15'!Print_Area</vt:lpstr>
      <vt:lpstr>'hse1'!Print_Area</vt:lpstr>
      <vt:lpstr>'hse10'!Print_Area</vt:lpstr>
      <vt:lpstr>'hse11'!Print_Area</vt:lpstr>
      <vt:lpstr>'hse12'!Print_Area</vt:lpstr>
      <vt:lpstr>hse13B!Print_Area</vt:lpstr>
      <vt:lpstr>hse14B!Print_Area</vt:lpstr>
      <vt:lpstr>'hse16'!Print_Area</vt:lpstr>
      <vt:lpstr>'hse17'!Print_Area</vt:lpstr>
      <vt:lpstr>'hse18'!Print_Area</vt:lpstr>
      <vt:lpstr>'hse19'!Print_Area</vt:lpstr>
      <vt:lpstr>'hse2'!Print_Area</vt:lpstr>
      <vt:lpstr>hse20B!Print_Area</vt:lpstr>
      <vt:lpstr>hse21B!Print_Area</vt:lpstr>
      <vt:lpstr>'hse22'!Print_Area</vt:lpstr>
      <vt:lpstr>'hse23'!Print_Area</vt:lpstr>
      <vt:lpstr>'hse24'!Print_Area</vt:lpstr>
      <vt:lpstr>'hse25'!Print_Area</vt:lpstr>
      <vt:lpstr>'hse26'!Print_Area</vt:lpstr>
      <vt:lpstr>hse27B!Print_Area</vt:lpstr>
      <vt:lpstr>hse28B!Print_Area</vt:lpstr>
      <vt:lpstr>'hse29'!Print_Area</vt:lpstr>
      <vt:lpstr>'hse3'!Print_Area</vt:lpstr>
      <vt:lpstr>'hse30'!Print_Area</vt:lpstr>
      <vt:lpstr>'hse31'!Print_Area</vt:lpstr>
      <vt:lpstr>'hse32'!Print_Area</vt:lpstr>
      <vt:lpstr>'hse33'!Print_Area</vt:lpstr>
      <vt:lpstr>hse34B!Print_Area</vt:lpstr>
      <vt:lpstr>hse35B!Print_Area</vt:lpstr>
      <vt:lpstr>'hse4'!Print_Area</vt:lpstr>
      <vt:lpstr>'hse5'!Print_Area</vt:lpstr>
      <vt:lpstr>hse6B!Print_Area</vt:lpstr>
      <vt:lpstr>hse7B!Print_Area</vt:lpstr>
      <vt:lpstr>'hse8'!Print_Area</vt:lpstr>
      <vt:lpstr>'hse9'!Print_Area</vt:lpstr>
      <vt:lpstr>meter!Print_Area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FRED;SAMEDHA APTS</dc:creator>
  <cp:keywords>SAMEDHA SUITS</cp:keywords>
  <cp:lastModifiedBy>samwel ngara</cp:lastModifiedBy>
  <cp:lastPrinted>2025-12-23T13:58:11Z</cp:lastPrinted>
  <dcterms:created xsi:type="dcterms:W3CDTF">2012-07-29T04:22:22Z</dcterms:created>
  <dcterms:modified xsi:type="dcterms:W3CDTF">2026-01-30T19:37:06Z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ef798181961c43b5bdb7800dd739d27e</vt:lpwstr>
  </property>
</Properties>
</file>