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FF68C171-DEB7-462F-906F-C3EA8253DD3F}" xr6:coauthVersionLast="47" xr6:coauthVersionMax="47" xr10:uidLastSave="{00000000-0000-0000-0000-000000000000}"/>
  <bookViews>
    <workbookView xWindow="-110" yWindow="-110" windowWidth="19420" windowHeight="11020" xr2:uid="{854DC457-2A76-4751-A3B4-127E87B375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9" i="1" l="1"/>
  <c r="D39" i="1"/>
  <c r="C39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" i="1"/>
  <c r="E39" i="1" l="1"/>
</calcChain>
</file>

<file path=xl/sharedStrings.xml><?xml version="1.0" encoding="utf-8"?>
<sst xmlns="http://schemas.openxmlformats.org/spreadsheetml/2006/main" count="152" uniqueCount="151">
  <si>
    <t>NAME</t>
  </si>
  <si>
    <t>HS NO</t>
  </si>
  <si>
    <t>AMT DUE</t>
  </si>
  <si>
    <t>AMT PAID</t>
  </si>
  <si>
    <t>BALANCE</t>
  </si>
  <si>
    <t>1A</t>
  </si>
  <si>
    <t>2A</t>
  </si>
  <si>
    <t>3A</t>
  </si>
  <si>
    <t>4A</t>
  </si>
  <si>
    <t>5A</t>
  </si>
  <si>
    <t>6B</t>
  </si>
  <si>
    <t>7B</t>
  </si>
  <si>
    <t>8A</t>
  </si>
  <si>
    <t>9A</t>
  </si>
  <si>
    <t>10A</t>
  </si>
  <si>
    <t>11A</t>
  </si>
  <si>
    <t>12A</t>
  </si>
  <si>
    <t>13B</t>
  </si>
  <si>
    <t>14B</t>
  </si>
  <si>
    <t>15A</t>
  </si>
  <si>
    <t>16A</t>
  </si>
  <si>
    <t>17A</t>
  </si>
  <si>
    <t>18A</t>
  </si>
  <si>
    <t>19A</t>
  </si>
  <si>
    <t>20B</t>
  </si>
  <si>
    <t>21B</t>
  </si>
  <si>
    <t>22A</t>
  </si>
  <si>
    <t>23A</t>
  </si>
  <si>
    <t>24A</t>
  </si>
  <si>
    <t>25A</t>
  </si>
  <si>
    <t>26A</t>
  </si>
  <si>
    <t>27B</t>
  </si>
  <si>
    <t>28B</t>
  </si>
  <si>
    <t>29A</t>
  </si>
  <si>
    <t>30A</t>
  </si>
  <si>
    <t>31A</t>
  </si>
  <si>
    <t>32A</t>
  </si>
  <si>
    <t>33A</t>
  </si>
  <si>
    <t>34B</t>
  </si>
  <si>
    <t>35B</t>
  </si>
  <si>
    <t>36B</t>
  </si>
  <si>
    <t>MAUREEN</t>
  </si>
  <si>
    <t>IRUNGU</t>
  </si>
  <si>
    <t>STACY</t>
  </si>
  <si>
    <t>MARY</t>
  </si>
  <si>
    <t>GEOFRY</t>
  </si>
  <si>
    <t>EVERLINE</t>
  </si>
  <si>
    <t>JAMES</t>
  </si>
  <si>
    <t>CHERYL</t>
  </si>
  <si>
    <t>JAMES NGUGI</t>
  </si>
  <si>
    <t>LIMO</t>
  </si>
  <si>
    <t>HARIET KAGENI</t>
  </si>
  <si>
    <t>VALARY SHARON</t>
  </si>
  <si>
    <t>ASHA NELLY</t>
  </si>
  <si>
    <t>SIPRIAN KATANA</t>
  </si>
  <si>
    <t>MOSES NJUGUNA</t>
  </si>
  <si>
    <t>DOUGLAS</t>
  </si>
  <si>
    <t>JOASH KABIANGA</t>
  </si>
  <si>
    <t>MAGRET</t>
  </si>
  <si>
    <t>ZAWADI</t>
  </si>
  <si>
    <t>KAMAU</t>
  </si>
  <si>
    <t>OMAR</t>
  </si>
  <si>
    <t>JOEL</t>
  </si>
  <si>
    <t>CATE</t>
  </si>
  <si>
    <t>TITUS</t>
  </si>
  <si>
    <t>PAUL MBOK</t>
  </si>
  <si>
    <t>ALICE</t>
  </si>
  <si>
    <t>MR 32</t>
  </si>
  <si>
    <t>MRS 24</t>
  </si>
  <si>
    <t>SAM</t>
  </si>
  <si>
    <t>MUGO</t>
  </si>
  <si>
    <t>ACCOUNT</t>
  </si>
  <si>
    <t>TOTAL</t>
  </si>
  <si>
    <t>JACK</t>
  </si>
  <si>
    <t>OWEN</t>
  </si>
  <si>
    <t>AMBROSE</t>
  </si>
  <si>
    <t>NEW TENANT</t>
  </si>
  <si>
    <t xml:space="preserve">     PHONE NO</t>
  </si>
  <si>
    <t>O731078405</t>
  </si>
  <si>
    <t>O759279244</t>
  </si>
  <si>
    <t>O703951974</t>
  </si>
  <si>
    <t>O720963905</t>
  </si>
  <si>
    <t>O759478920</t>
  </si>
  <si>
    <t>O703866338</t>
  </si>
  <si>
    <t>O702648139</t>
  </si>
  <si>
    <t>O715498661</t>
  </si>
  <si>
    <t>O722370551</t>
  </si>
  <si>
    <t>O726061438</t>
  </si>
  <si>
    <t>O706929868</t>
  </si>
  <si>
    <t>O719543988</t>
  </si>
  <si>
    <t>O725876433</t>
  </si>
  <si>
    <t>O713682696</t>
  </si>
  <si>
    <t>O703715892</t>
  </si>
  <si>
    <t>O728048645</t>
  </si>
  <si>
    <t>O724912011</t>
  </si>
  <si>
    <t>O701555336</t>
  </si>
  <si>
    <t>O712246274</t>
  </si>
  <si>
    <t>O724202463</t>
  </si>
  <si>
    <t>O707511364</t>
  </si>
  <si>
    <t>O708004827</t>
  </si>
  <si>
    <t>O723714004</t>
  </si>
  <si>
    <t>O720040529</t>
  </si>
  <si>
    <t>O735994691</t>
  </si>
  <si>
    <t>O707420913</t>
  </si>
  <si>
    <t>O742112449</t>
  </si>
  <si>
    <t>O722657042</t>
  </si>
  <si>
    <t>O746763805</t>
  </si>
  <si>
    <t>O719702040</t>
  </si>
  <si>
    <t>O704630666</t>
  </si>
  <si>
    <t>O721725518</t>
  </si>
  <si>
    <t>O796411721</t>
  </si>
  <si>
    <t>O720304145</t>
  </si>
  <si>
    <r>
      <t xml:space="preserve">              </t>
    </r>
    <r>
      <rPr>
        <b/>
        <sz val="20"/>
        <color theme="4"/>
        <rFont val="Arial Black"/>
        <family val="2"/>
      </rPr>
      <t xml:space="preserve"> KITENGELA  JAN RENT PAYMENT</t>
    </r>
  </si>
  <si>
    <t>KT 1A</t>
  </si>
  <si>
    <t>KT 2A</t>
  </si>
  <si>
    <t>KT 3A</t>
  </si>
  <si>
    <t>KT 4A</t>
  </si>
  <si>
    <t>KT 5A</t>
  </si>
  <si>
    <t>KT 6B</t>
  </si>
  <si>
    <t>KT 7B</t>
  </si>
  <si>
    <t>KT 8A</t>
  </si>
  <si>
    <t>KT 9A</t>
  </si>
  <si>
    <t>KT 10A</t>
  </si>
  <si>
    <t>KT 11A</t>
  </si>
  <si>
    <t>KT 12A</t>
  </si>
  <si>
    <t>KT 13B</t>
  </si>
  <si>
    <t>KT 14B</t>
  </si>
  <si>
    <t>KT 15A</t>
  </si>
  <si>
    <t>KT 16A</t>
  </si>
  <si>
    <t>KT 17A</t>
  </si>
  <si>
    <t>KT 18A</t>
  </si>
  <si>
    <t>KT 19A</t>
  </si>
  <si>
    <t>KT 20B</t>
  </si>
  <si>
    <t>KT 21B</t>
  </si>
  <si>
    <t>KT 22A</t>
  </si>
  <si>
    <t>KT 23A</t>
  </si>
  <si>
    <t>KT 24A</t>
  </si>
  <si>
    <t>KT 25A</t>
  </si>
  <si>
    <t>KT 26A</t>
  </si>
  <si>
    <t>KT 27B</t>
  </si>
  <si>
    <t>KT 28B</t>
  </si>
  <si>
    <t>KT 29A</t>
  </si>
  <si>
    <t>KT 30A</t>
  </si>
  <si>
    <t>KT 31A</t>
  </si>
  <si>
    <t>KT 32A</t>
  </si>
  <si>
    <t>KT 33A</t>
  </si>
  <si>
    <t>KT 34B</t>
  </si>
  <si>
    <t>KT 35B</t>
  </si>
  <si>
    <t>KT 36B</t>
  </si>
  <si>
    <t>NO OF DAYS</t>
  </si>
  <si>
    <t>AMNT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</si>
</sst>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0"/>
      <color theme="1"/>
      <name val="Arial Black"/>
      <family val="2"/>
    </font>
    <font>
      <b/>
      <sz val="20"/>
      <color theme="4"/>
      <name val="Arial Blac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0" fillId="0" borderId="0" xfId="0" applyNumberFormat="1"/>
    <xf numFmtId="2" fontId="1" fillId="0" borderId="0" xfId="0" applyNumberFormat="1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CCB0E-E2B0-487D-8F69-B8AEB0DF857B}">
  <dimension ref="A1:I39"/>
  <sheetViews>
    <sheetView tabSelected="1" topLeftCell="A15" zoomScale="85" zoomScaleNormal="85" workbookViewId="0">
      <selection activeCell="K11" sqref="K11"/>
    </sheetView>
  </sheetViews>
  <sheetFormatPr defaultRowHeight="14.5" x14ac:dyDescent="0.35"/>
  <cols>
    <col min="1" max="1" width="21.26953125" customWidth="1"/>
    <col min="2" max="2" width="14.81640625" customWidth="1"/>
    <col min="3" max="4" width="17.1796875" style="2" customWidth="1"/>
    <col min="5" max="5" width="17.26953125" style="2" customWidth="1"/>
    <col min="6" max="6" width="14.54296875" customWidth="1"/>
    <col min="7" max="7" width="10.36328125" customWidth="1"/>
    <col min="8" max="8" width="14.81640625" customWidth="1"/>
  </cols>
  <sheetData>
    <row r="1" spans="1:9" s="5" customFormat="1" ht="53.5" customHeight="1" x14ac:dyDescent="0.85">
      <c r="A1" s="4" t="s">
        <v>112</v>
      </c>
    </row>
    <row r="2" spans="1:9" s="1" customFormat="1" x14ac:dyDescent="0.35">
      <c r="A2" s="1" t="s">
        <v>0</v>
      </c>
      <c r="B2" s="1" t="s">
        <v>1</v>
      </c>
      <c r="C2" s="3" t="s">
        <v>2</v>
      </c>
      <c r="D2" s="3" t="s">
        <v>3</v>
      </c>
      <c r="E2" s="3" t="s">
        <v>4</v>
      </c>
      <c r="F2" s="1" t="s">
        <v>77</v>
      </c>
      <c r="G2" s="1" t="s">
        <v>71</v>
      </c>
      <c r="H2" s="1" t="s">
        <v>149</v>
      </c>
      <c r="I2" s="1" t="s">
        <v>150</v>
      </c>
    </row>
    <row r="3" spans="1:9" x14ac:dyDescent="0.35">
      <c r="A3" t="s">
        <v>41</v>
      </c>
      <c r="B3" t="s">
        <v>5</v>
      </c>
      <c r="C3" s="2">
        <v>10980</v>
      </c>
      <c r="D3" s="2">
        <v>10980</v>
      </c>
      <c r="E3" s="2">
        <f>C3-D3</f>
        <v>0</v>
      </c>
      <c r="F3" t="s">
        <v>78</v>
      </c>
      <c r="G3" t="s">
        <v>113</v>
      </c>
      <c r="H3">
        <v>3</v>
      </c>
      <c r="I3">
        <v>1000</v>
      </c>
    </row>
    <row r="4" spans="1:9" x14ac:dyDescent="0.35">
      <c r="A4" t="s">
        <v>42</v>
      </c>
      <c r="B4" t="s">
        <v>6</v>
      </c>
      <c r="C4" s="2">
        <v>12000</v>
      </c>
      <c r="D4" s="2">
        <v>12000</v>
      </c>
      <c r="E4" s="2">
        <f t="shared" ref="E4:E38" si="0">C4-D4</f>
        <v>0</v>
      </c>
      <c r="F4" t="s">
        <v>79</v>
      </c>
      <c r="G4" t="s">
        <v>114</v>
      </c>
    </row>
    <row r="5" spans="1:9" x14ac:dyDescent="0.35">
      <c r="A5" t="s">
        <v>43</v>
      </c>
      <c r="B5" t="s">
        <v>7</v>
      </c>
      <c r="C5" s="2">
        <v>12360</v>
      </c>
      <c r="E5" s="2">
        <f t="shared" si="0"/>
        <v>12360</v>
      </c>
      <c r="F5" t="s">
        <v>80</v>
      </c>
      <c r="G5" t="s">
        <v>115</v>
      </c>
      <c r="H5">
        <v>7</v>
      </c>
      <c r="I5">
        <v>2450</v>
      </c>
    </row>
    <row r="6" spans="1:9" x14ac:dyDescent="0.35">
      <c r="A6" t="s">
        <v>44</v>
      </c>
      <c r="B6" t="s">
        <v>8</v>
      </c>
      <c r="C6" s="2">
        <v>11640</v>
      </c>
      <c r="D6" s="2">
        <v>10500</v>
      </c>
      <c r="E6" s="2">
        <f t="shared" si="0"/>
        <v>1140</v>
      </c>
      <c r="F6" t="s">
        <v>81</v>
      </c>
      <c r="G6" t="s">
        <v>116</v>
      </c>
      <c r="H6">
        <v>15</v>
      </c>
      <c r="I6">
        <v>5250</v>
      </c>
    </row>
    <row r="7" spans="1:9" x14ac:dyDescent="0.35">
      <c r="A7" t="s">
        <v>45</v>
      </c>
      <c r="B7" t="s">
        <v>9</v>
      </c>
      <c r="C7" s="2">
        <v>0</v>
      </c>
      <c r="D7" s="2">
        <v>0</v>
      </c>
      <c r="E7" s="2">
        <f t="shared" si="0"/>
        <v>0</v>
      </c>
      <c r="G7" t="s">
        <v>117</v>
      </c>
    </row>
    <row r="8" spans="1:9" x14ac:dyDescent="0.35">
      <c r="A8" t="s">
        <v>46</v>
      </c>
      <c r="B8" t="s">
        <v>10</v>
      </c>
      <c r="C8" s="2">
        <v>9420</v>
      </c>
      <c r="D8" s="2">
        <v>4500</v>
      </c>
      <c r="E8" s="2">
        <f t="shared" si="0"/>
        <v>4920</v>
      </c>
      <c r="F8" t="s">
        <v>82</v>
      </c>
      <c r="G8" t="s">
        <v>118</v>
      </c>
    </row>
    <row r="9" spans="1:9" x14ac:dyDescent="0.35">
      <c r="B9" t="s">
        <v>11</v>
      </c>
      <c r="C9" s="2">
        <v>8500</v>
      </c>
      <c r="E9" s="2">
        <f>C9-D9</f>
        <v>8500</v>
      </c>
      <c r="G9" t="s">
        <v>119</v>
      </c>
      <c r="H9">
        <v>10</v>
      </c>
      <c r="I9">
        <v>2830</v>
      </c>
    </row>
    <row r="10" spans="1:9" x14ac:dyDescent="0.35">
      <c r="A10" t="s">
        <v>47</v>
      </c>
      <c r="B10" t="s">
        <v>12</v>
      </c>
      <c r="C10" s="2">
        <v>11920</v>
      </c>
      <c r="D10" s="2">
        <v>11920</v>
      </c>
      <c r="E10" s="2">
        <f>C10-D10</f>
        <v>0</v>
      </c>
      <c r="F10" t="s">
        <v>83</v>
      </c>
      <c r="G10" t="s">
        <v>120</v>
      </c>
    </row>
    <row r="11" spans="1:9" x14ac:dyDescent="0.35">
      <c r="A11" t="s">
        <v>48</v>
      </c>
      <c r="B11" t="s">
        <v>13</v>
      </c>
      <c r="C11" s="2">
        <v>11700</v>
      </c>
      <c r="D11" s="2">
        <v>11200</v>
      </c>
      <c r="E11" s="2">
        <f t="shared" si="0"/>
        <v>500</v>
      </c>
      <c r="F11" t="s">
        <v>84</v>
      </c>
      <c r="G11" t="s">
        <v>121</v>
      </c>
    </row>
    <row r="12" spans="1:9" x14ac:dyDescent="0.35">
      <c r="A12" t="s">
        <v>73</v>
      </c>
      <c r="B12" t="s">
        <v>14</v>
      </c>
      <c r="C12" s="2">
        <v>11920</v>
      </c>
      <c r="D12" s="2">
        <v>10920</v>
      </c>
      <c r="E12" s="2">
        <f t="shared" si="0"/>
        <v>1000</v>
      </c>
      <c r="F12" t="s">
        <v>85</v>
      </c>
      <c r="G12" t="s">
        <v>122</v>
      </c>
    </row>
    <row r="13" spans="1:9" x14ac:dyDescent="0.35">
      <c r="A13" t="s">
        <v>49</v>
      </c>
      <c r="B13" t="s">
        <v>15</v>
      </c>
      <c r="C13" s="2">
        <v>10480</v>
      </c>
      <c r="D13" s="2">
        <v>10480</v>
      </c>
      <c r="E13" s="2">
        <f t="shared" si="0"/>
        <v>0</v>
      </c>
      <c r="F13" t="s">
        <v>86</v>
      </c>
      <c r="G13" t="s">
        <v>123</v>
      </c>
    </row>
    <row r="14" spans="1:9" x14ac:dyDescent="0.35">
      <c r="A14" t="s">
        <v>50</v>
      </c>
      <c r="B14" t="s">
        <v>16</v>
      </c>
      <c r="C14" s="2">
        <v>12580</v>
      </c>
      <c r="D14" s="2">
        <v>12500</v>
      </c>
      <c r="E14" s="2">
        <f t="shared" si="0"/>
        <v>80</v>
      </c>
      <c r="F14" t="s">
        <v>87</v>
      </c>
      <c r="G14" t="s">
        <v>124</v>
      </c>
      <c r="H14">
        <v>2</v>
      </c>
      <c r="I14">
        <v>677</v>
      </c>
    </row>
    <row r="15" spans="1:9" x14ac:dyDescent="0.35">
      <c r="A15" t="s">
        <v>51</v>
      </c>
      <c r="B15" t="s">
        <v>17</v>
      </c>
      <c r="C15" s="2">
        <v>8980</v>
      </c>
      <c r="D15" s="2">
        <v>8980</v>
      </c>
      <c r="E15" s="2">
        <f t="shared" si="0"/>
        <v>0</v>
      </c>
      <c r="F15" t="s">
        <v>88</v>
      </c>
      <c r="G15" t="s">
        <v>125</v>
      </c>
    </row>
    <row r="16" spans="1:9" x14ac:dyDescent="0.35">
      <c r="A16" t="s">
        <v>52</v>
      </c>
      <c r="B16" t="s">
        <v>18</v>
      </c>
      <c r="C16" s="2">
        <v>9920</v>
      </c>
      <c r="E16" s="2">
        <f t="shared" si="0"/>
        <v>9920</v>
      </c>
      <c r="F16" t="s">
        <v>89</v>
      </c>
      <c r="G16" t="s">
        <v>126</v>
      </c>
      <c r="H16">
        <v>3</v>
      </c>
      <c r="I16">
        <v>820</v>
      </c>
    </row>
    <row r="17" spans="1:9" x14ac:dyDescent="0.35">
      <c r="A17" t="s">
        <v>53</v>
      </c>
      <c r="B17" t="s">
        <v>19</v>
      </c>
      <c r="C17" s="2">
        <v>11640</v>
      </c>
      <c r="D17" s="2">
        <v>10000</v>
      </c>
      <c r="E17" s="2">
        <f t="shared" si="0"/>
        <v>1640</v>
      </c>
      <c r="F17" t="s">
        <v>90</v>
      </c>
      <c r="G17" t="s">
        <v>127</v>
      </c>
      <c r="H17">
        <v>2</v>
      </c>
      <c r="I17">
        <v>677</v>
      </c>
    </row>
    <row r="18" spans="1:9" x14ac:dyDescent="0.35">
      <c r="A18" t="s">
        <v>54</v>
      </c>
      <c r="B18" t="s">
        <v>20</v>
      </c>
      <c r="C18" s="2">
        <v>11480</v>
      </c>
      <c r="E18" s="2">
        <f t="shared" si="0"/>
        <v>11480</v>
      </c>
      <c r="F18" t="s">
        <v>91</v>
      </c>
      <c r="G18" t="s">
        <v>128</v>
      </c>
      <c r="H18">
        <v>2</v>
      </c>
      <c r="I18">
        <v>677</v>
      </c>
    </row>
    <row r="19" spans="1:9" x14ac:dyDescent="0.35">
      <c r="A19" t="s">
        <v>57</v>
      </c>
      <c r="B19" t="s">
        <v>21</v>
      </c>
      <c r="C19" s="2">
        <v>11700</v>
      </c>
      <c r="D19" s="2">
        <v>0</v>
      </c>
      <c r="E19" s="2">
        <f t="shared" si="0"/>
        <v>11700</v>
      </c>
      <c r="F19" t="s">
        <v>92</v>
      </c>
      <c r="G19" t="s">
        <v>129</v>
      </c>
      <c r="H19">
        <v>3</v>
      </c>
      <c r="I19">
        <v>1000</v>
      </c>
    </row>
    <row r="20" spans="1:9" x14ac:dyDescent="0.35">
      <c r="A20" t="s">
        <v>55</v>
      </c>
      <c r="B20" t="s">
        <v>22</v>
      </c>
      <c r="C20" s="2">
        <v>11200</v>
      </c>
      <c r="E20" s="2">
        <f t="shared" si="0"/>
        <v>11200</v>
      </c>
      <c r="F20" t="s">
        <v>93</v>
      </c>
      <c r="G20" t="s">
        <v>130</v>
      </c>
      <c r="H20">
        <v>5</v>
      </c>
      <c r="I20">
        <v>1750</v>
      </c>
    </row>
    <row r="21" spans="1:9" x14ac:dyDescent="0.35">
      <c r="A21" t="s">
        <v>56</v>
      </c>
      <c r="B21" t="s">
        <v>23</v>
      </c>
      <c r="C21" s="2">
        <v>11420</v>
      </c>
      <c r="D21" s="2">
        <v>11420</v>
      </c>
      <c r="E21" s="2">
        <f t="shared" si="0"/>
        <v>0</v>
      </c>
      <c r="F21" t="s">
        <v>94</v>
      </c>
      <c r="G21" t="s">
        <v>131</v>
      </c>
    </row>
    <row r="22" spans="1:9" x14ac:dyDescent="0.35">
      <c r="A22" t="s">
        <v>74</v>
      </c>
      <c r="B22" t="s">
        <v>24</v>
      </c>
      <c r="C22" s="2">
        <v>8980</v>
      </c>
      <c r="E22" s="2">
        <f t="shared" si="0"/>
        <v>8980</v>
      </c>
      <c r="F22" t="s">
        <v>95</v>
      </c>
      <c r="G22" t="s">
        <v>132</v>
      </c>
    </row>
    <row r="23" spans="1:9" x14ac:dyDescent="0.35">
      <c r="A23" t="s">
        <v>58</v>
      </c>
      <c r="B23" t="s">
        <v>25</v>
      </c>
      <c r="C23" s="2">
        <v>10140</v>
      </c>
      <c r="E23" s="2">
        <f t="shared" si="0"/>
        <v>10140</v>
      </c>
      <c r="F23" t="s">
        <v>96</v>
      </c>
      <c r="G23" t="s">
        <v>133</v>
      </c>
      <c r="H23">
        <v>2</v>
      </c>
      <c r="I23">
        <v>548</v>
      </c>
    </row>
    <row r="24" spans="1:9" x14ac:dyDescent="0.35">
      <c r="A24" t="s">
        <v>59</v>
      </c>
      <c r="B24" t="s">
        <v>26</v>
      </c>
      <c r="C24" s="2">
        <v>11200</v>
      </c>
      <c r="E24" s="2">
        <f t="shared" si="0"/>
        <v>11200</v>
      </c>
      <c r="F24" t="s">
        <v>97</v>
      </c>
      <c r="G24" t="s">
        <v>134</v>
      </c>
    </row>
    <row r="25" spans="1:9" x14ac:dyDescent="0.35">
      <c r="A25" t="s">
        <v>60</v>
      </c>
      <c r="B25" t="s">
        <v>27</v>
      </c>
      <c r="C25" s="2">
        <v>11700</v>
      </c>
      <c r="D25" s="2">
        <v>11700</v>
      </c>
      <c r="E25" s="2">
        <f t="shared" si="0"/>
        <v>0</v>
      </c>
      <c r="F25" t="s">
        <v>98</v>
      </c>
      <c r="G25" t="s">
        <v>135</v>
      </c>
    </row>
    <row r="26" spans="1:9" x14ac:dyDescent="0.35">
      <c r="A26" t="s">
        <v>68</v>
      </c>
      <c r="B26" t="s">
        <v>28</v>
      </c>
      <c r="C26" s="2">
        <v>11480</v>
      </c>
      <c r="E26" s="2">
        <f>C26-D26</f>
        <v>11480</v>
      </c>
      <c r="F26" t="s">
        <v>99</v>
      </c>
      <c r="G26" t="s">
        <v>136</v>
      </c>
    </row>
    <row r="27" spans="1:9" x14ac:dyDescent="0.35">
      <c r="A27" t="s">
        <v>61</v>
      </c>
      <c r="B27" t="s">
        <v>29</v>
      </c>
      <c r="C27" s="2">
        <v>11920</v>
      </c>
      <c r="E27" s="2">
        <f>C27-D27</f>
        <v>11920</v>
      </c>
      <c r="F27" t="s">
        <v>100</v>
      </c>
      <c r="G27" t="s">
        <v>137</v>
      </c>
      <c r="H27">
        <v>4</v>
      </c>
      <c r="I27">
        <v>1355</v>
      </c>
    </row>
    <row r="28" spans="1:9" x14ac:dyDescent="0.35">
      <c r="A28" t="s">
        <v>62</v>
      </c>
      <c r="B28" t="s">
        <v>30</v>
      </c>
      <c r="C28" s="2">
        <v>11420</v>
      </c>
      <c r="D28" s="2">
        <v>6170</v>
      </c>
      <c r="E28" s="2">
        <f t="shared" si="0"/>
        <v>5250</v>
      </c>
      <c r="F28" t="s">
        <v>101</v>
      </c>
      <c r="G28" t="s">
        <v>138</v>
      </c>
    </row>
    <row r="29" spans="1:9" x14ac:dyDescent="0.35">
      <c r="A29" t="s">
        <v>63</v>
      </c>
      <c r="B29" t="s">
        <v>31</v>
      </c>
      <c r="C29" s="2">
        <v>8980</v>
      </c>
      <c r="D29" s="2">
        <v>8980</v>
      </c>
      <c r="E29" s="2">
        <f t="shared" si="0"/>
        <v>0</v>
      </c>
      <c r="F29" t="s">
        <v>102</v>
      </c>
      <c r="G29" t="s">
        <v>139</v>
      </c>
      <c r="H29">
        <v>4</v>
      </c>
      <c r="I29">
        <v>1132</v>
      </c>
    </row>
    <row r="30" spans="1:9" x14ac:dyDescent="0.35">
      <c r="A30" t="s">
        <v>64</v>
      </c>
      <c r="B30" t="s">
        <v>32</v>
      </c>
      <c r="C30" s="2">
        <v>9700</v>
      </c>
      <c r="D30" s="2">
        <v>9700</v>
      </c>
      <c r="E30" s="2">
        <f t="shared" si="0"/>
        <v>0</v>
      </c>
      <c r="F30" t="s">
        <v>103</v>
      </c>
      <c r="G30" t="s">
        <v>140</v>
      </c>
    </row>
    <row r="31" spans="1:9" x14ac:dyDescent="0.35">
      <c r="A31" t="s">
        <v>65</v>
      </c>
      <c r="B31" t="s">
        <v>33</v>
      </c>
      <c r="C31" s="2">
        <v>10980</v>
      </c>
      <c r="D31" s="2">
        <v>10900</v>
      </c>
      <c r="E31" s="2">
        <f t="shared" si="0"/>
        <v>80</v>
      </c>
      <c r="F31" t="s">
        <v>104</v>
      </c>
      <c r="G31" t="s">
        <v>141</v>
      </c>
    </row>
    <row r="32" spans="1:9" x14ac:dyDescent="0.35">
      <c r="A32" t="s">
        <v>44</v>
      </c>
      <c r="B32" t="s">
        <v>34</v>
      </c>
      <c r="C32" s="2">
        <v>10700</v>
      </c>
      <c r="D32" s="2">
        <v>10700</v>
      </c>
      <c r="E32" s="2">
        <f t="shared" si="0"/>
        <v>0</v>
      </c>
      <c r="F32" t="s">
        <v>105</v>
      </c>
      <c r="G32" t="s">
        <v>142</v>
      </c>
    </row>
    <row r="33" spans="1:9" x14ac:dyDescent="0.35">
      <c r="A33" t="s">
        <v>66</v>
      </c>
      <c r="B33" t="s">
        <v>35</v>
      </c>
      <c r="C33" s="2">
        <v>11920</v>
      </c>
      <c r="D33" s="2">
        <v>8500</v>
      </c>
      <c r="E33" s="2">
        <f t="shared" si="0"/>
        <v>3420</v>
      </c>
      <c r="F33" t="s">
        <v>106</v>
      </c>
      <c r="G33" t="s">
        <v>143</v>
      </c>
      <c r="H33">
        <v>5</v>
      </c>
      <c r="I33">
        <v>1750</v>
      </c>
    </row>
    <row r="34" spans="1:9" x14ac:dyDescent="0.35">
      <c r="A34" t="s">
        <v>67</v>
      </c>
      <c r="B34" t="s">
        <v>36</v>
      </c>
      <c r="C34" s="2">
        <v>10920</v>
      </c>
      <c r="D34" s="2">
        <v>10920</v>
      </c>
      <c r="E34" s="2">
        <f t="shared" si="0"/>
        <v>0</v>
      </c>
      <c r="F34" t="s">
        <v>107</v>
      </c>
      <c r="G34" t="s">
        <v>144</v>
      </c>
    </row>
    <row r="35" spans="1:9" x14ac:dyDescent="0.35">
      <c r="A35" t="s">
        <v>75</v>
      </c>
      <c r="B35" t="s">
        <v>37</v>
      </c>
      <c r="C35" s="2">
        <v>11200</v>
      </c>
      <c r="E35" s="2">
        <f t="shared" si="0"/>
        <v>11200</v>
      </c>
      <c r="F35" t="s">
        <v>108</v>
      </c>
      <c r="G35" t="s">
        <v>145</v>
      </c>
      <c r="H35">
        <v>2</v>
      </c>
      <c r="I35">
        <v>677</v>
      </c>
    </row>
    <row r="36" spans="1:9" x14ac:dyDescent="0.35">
      <c r="A36" t="s">
        <v>69</v>
      </c>
      <c r="B36" t="s">
        <v>38</v>
      </c>
      <c r="C36" s="2">
        <v>9700</v>
      </c>
      <c r="D36" s="2">
        <v>9700</v>
      </c>
      <c r="E36" s="2">
        <f t="shared" si="0"/>
        <v>0</v>
      </c>
      <c r="F36" t="s">
        <v>110</v>
      </c>
      <c r="G36" t="s">
        <v>146</v>
      </c>
    </row>
    <row r="37" spans="1:9" x14ac:dyDescent="0.35">
      <c r="A37" t="s">
        <v>76</v>
      </c>
      <c r="B37" t="s">
        <v>39</v>
      </c>
      <c r="C37" s="2">
        <v>8980</v>
      </c>
      <c r="D37" s="2">
        <v>8980</v>
      </c>
      <c r="E37" s="2">
        <f t="shared" si="0"/>
        <v>0</v>
      </c>
      <c r="F37" t="s">
        <v>109</v>
      </c>
      <c r="G37" t="s">
        <v>147</v>
      </c>
      <c r="H37">
        <v>2</v>
      </c>
      <c r="I37">
        <v>677</v>
      </c>
    </row>
    <row r="38" spans="1:9" x14ac:dyDescent="0.35">
      <c r="A38" t="s">
        <v>70</v>
      </c>
      <c r="B38" t="s">
        <v>40</v>
      </c>
      <c r="C38" s="2">
        <v>9480</v>
      </c>
      <c r="E38" s="2">
        <f t="shared" si="0"/>
        <v>9480</v>
      </c>
      <c r="F38" t="s">
        <v>111</v>
      </c>
      <c r="G38" t="s">
        <v>148</v>
      </c>
    </row>
    <row r="39" spans="1:9" s="1" customFormat="1" ht="28.5" customHeight="1" x14ac:dyDescent="0.35">
      <c r="A39" s="1" t="s">
        <v>72</v>
      </c>
      <c r="C39" s="3">
        <f>SUM(C3:C38)</f>
        <v>379240</v>
      </c>
      <c r="D39" s="3">
        <f>SUM(D3:D38)</f>
        <v>221650</v>
      </c>
      <c r="E39" s="3">
        <f t="shared" ref="E39" si="1">SUM(E3:E38)</f>
        <v>157590</v>
      </c>
      <c r="I39" s="1">
        <f>SUM(I3:I37)</f>
        <v>23270</v>
      </c>
    </row>
  </sheetData>
  <mergeCells count="1">
    <mergeCell ref="A1:XF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samwel ngara</dc:creator>
  <cp:lastModifiedBy>samwel ngara</cp:lastModifiedBy>
  <dcterms:created xsi:type="dcterms:W3CDTF">2025-06-21T07:12:23Z</dcterms:created>
  <dcterms:modified xsi:type="dcterms:W3CDTF">2026-01-30T08:35:06Z</dcterms:modified>
</cp:coreProperties>
</file>