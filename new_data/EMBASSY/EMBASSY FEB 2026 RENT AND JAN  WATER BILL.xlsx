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EMBASSY\"/>
    </mc:Choice>
  </mc:AlternateContent>
  <xr:revisionPtr revIDLastSave="0" documentId="13_ncr:1_{59381863-69A4-4FB5-90B5-6D0062BD7CD0}" xr6:coauthVersionLast="47" xr6:coauthVersionMax="47" xr10:uidLastSave="{00000000-0000-0000-0000-000000000000}"/>
  <bookViews>
    <workbookView xWindow="-110" yWindow="-110" windowWidth="19420" windowHeight="11020" tabRatio="578" firstSheet="3" activeTab="11" xr2:uid="{00000000-000D-0000-FFFF-FFFF00000000}"/>
  </bookViews>
  <sheets>
    <sheet name="GFA" sheetId="1" r:id="rId1"/>
    <sheet name="GFB" sheetId="2" r:id="rId2"/>
    <sheet name="1A" sheetId="3" r:id="rId3"/>
    <sheet name="2A" sheetId="4" r:id="rId4"/>
    <sheet name="3A" sheetId="5" r:id="rId5"/>
    <sheet name="1B" sheetId="6" r:id="rId6"/>
    <sheet name="2B" sheetId="7" r:id="rId7"/>
    <sheet name="3B" sheetId="8" r:id="rId8"/>
    <sheet name="1C" sheetId="9" r:id="rId9"/>
    <sheet name="2C" sheetId="10" r:id="rId10"/>
    <sheet name="3C" sheetId="11" r:id="rId11"/>
    <sheet name="meter" sheetId="38" r:id="rId12"/>
    <sheet name="Sheet3" sheetId="42" r:id="rId13"/>
    <sheet name="Sheet1" sheetId="40" state="hidden" r:id="rId14"/>
    <sheet name="Sheet2" sheetId="41" state="hidden" r:id="rId15"/>
  </sheets>
  <definedNames>
    <definedName name="_xlnm.Print_Area" localSheetId="2">'1A'!$A$1:$H$54</definedName>
    <definedName name="_xlnm.Print_Area" localSheetId="5">'1B'!$A$1:$I$53</definedName>
    <definedName name="_xlnm.Print_Area" localSheetId="8">'1C'!$A$1:$H$53</definedName>
    <definedName name="_xlnm.Print_Area" localSheetId="3">'2A'!$A$1:$J$53</definedName>
    <definedName name="_xlnm.Print_Area" localSheetId="6">'2B'!$A$1:$H$54</definedName>
    <definedName name="_xlnm.Print_Area" localSheetId="9">'2C'!$A$1:$I$56</definedName>
    <definedName name="_xlnm.Print_Area" localSheetId="4">'3A'!$A$1:$J$53</definedName>
    <definedName name="_xlnm.Print_Area" localSheetId="7">'3B'!$A$1:$I$53</definedName>
    <definedName name="_xlnm.Print_Area" localSheetId="10">'3C'!$A$1:$H$53</definedName>
    <definedName name="_xlnm.Print_Area" localSheetId="0">GFA!$A$1:$G$55</definedName>
    <definedName name="_xlnm.Print_Area" localSheetId="1">GFB!$A$1:$G$53</definedName>
    <definedName name="_xlnm.Print_Area" localSheetId="11">meter!$A$1:$V$14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8" l="1"/>
  <c r="D18" i="1"/>
  <c r="D28" i="1" s="1"/>
  <c r="P3" i="38" s="1"/>
  <c r="C16" i="1" l="1"/>
  <c r="B16" i="1"/>
  <c r="C12" i="11"/>
  <c r="C10" i="11"/>
  <c r="C12" i="10"/>
  <c r="C10" i="10"/>
  <c r="C12" i="9"/>
  <c r="C10" i="9"/>
  <c r="C12" i="8"/>
  <c r="C10" i="8"/>
  <c r="C12" i="7"/>
  <c r="C10" i="7"/>
  <c r="C12" i="6"/>
  <c r="C10" i="6"/>
  <c r="C12" i="5"/>
  <c r="C10" i="5"/>
  <c r="G7" i="38"/>
  <c r="I7" i="38" s="1"/>
  <c r="N14" i="38"/>
  <c r="D16" i="1" l="1"/>
  <c r="D7" i="38"/>
  <c r="D10" i="38" s="1"/>
  <c r="D13" i="38" s="1"/>
  <c r="D6" i="38"/>
  <c r="D9" i="38" s="1"/>
  <c r="D12" i="38" s="1"/>
  <c r="D5" i="38"/>
  <c r="D8" i="38" s="1"/>
  <c r="D11" i="38" s="1"/>
  <c r="G3" i="38"/>
  <c r="G4" i="38"/>
  <c r="I4" i="38" s="1"/>
  <c r="G5" i="38"/>
  <c r="I5" i="38" s="1"/>
  <c r="G6" i="38"/>
  <c r="I6" i="38" s="1"/>
  <c r="G8" i="38"/>
  <c r="I8" i="38" s="1"/>
  <c r="G9" i="38"/>
  <c r="I9" i="38" s="1"/>
  <c r="G10" i="38"/>
  <c r="I10" i="38" s="1"/>
  <c r="G11" i="38"/>
  <c r="I11" i="38" s="1"/>
  <c r="G12" i="38"/>
  <c r="I12" i="38" s="1"/>
  <c r="G13" i="38"/>
  <c r="I13" i="38" s="1"/>
  <c r="G14" i="38" l="1"/>
  <c r="K45" i="41" l="1"/>
  <c r="J45" i="41"/>
  <c r="I45" i="41"/>
  <c r="E38" i="41"/>
  <c r="L22" i="40"/>
  <c r="L21" i="40"/>
  <c r="E20" i="11"/>
  <c r="K11" i="38"/>
  <c r="N38" i="11"/>
  <c r="N37" i="11"/>
  <c r="N36" i="11"/>
  <c r="N35" i="11"/>
  <c r="N34" i="11"/>
  <c r="N33" i="11"/>
  <c r="N32" i="11"/>
  <c r="E32" i="11"/>
  <c r="N31" i="11"/>
  <c r="N30" i="11"/>
  <c r="N29" i="11"/>
  <c r="N28" i="11"/>
  <c r="N27" i="11"/>
  <c r="N26" i="11"/>
  <c r="E26" i="11"/>
  <c r="N25" i="11"/>
  <c r="N24" i="11"/>
  <c r="E24" i="11"/>
  <c r="N23" i="11"/>
  <c r="N22" i="11"/>
  <c r="N21" i="11"/>
  <c r="N20" i="11"/>
  <c r="N19" i="11"/>
  <c r="N18" i="11"/>
  <c r="E18" i="11"/>
  <c r="E28" i="11" s="1"/>
  <c r="P13" i="38" s="1"/>
  <c r="N17" i="11"/>
  <c r="N16" i="11"/>
  <c r="C16" i="11"/>
  <c r="B16" i="11"/>
  <c r="N15" i="11"/>
  <c r="N14" i="11"/>
  <c r="N13" i="11"/>
  <c r="N12" i="11"/>
  <c r="N11" i="11"/>
  <c r="N10" i="11"/>
  <c r="N9" i="11"/>
  <c r="N8" i="11"/>
  <c r="N7" i="11"/>
  <c r="N6" i="11"/>
  <c r="C6" i="11"/>
  <c r="N5" i="11"/>
  <c r="N4" i="11"/>
  <c r="H4" i="11"/>
  <c r="N3" i="11"/>
  <c r="B3" i="11"/>
  <c r="N36" i="10"/>
  <c r="N35" i="10"/>
  <c r="N34" i="10"/>
  <c r="N33" i="10"/>
  <c r="N32" i="10"/>
  <c r="E32" i="10"/>
  <c r="N31" i="10"/>
  <c r="N30" i="10"/>
  <c r="N29" i="10"/>
  <c r="N28" i="10"/>
  <c r="N27" i="10"/>
  <c r="N26" i="10"/>
  <c r="E26" i="10"/>
  <c r="N25" i="10"/>
  <c r="N24" i="10"/>
  <c r="E24" i="10"/>
  <c r="N23" i="10"/>
  <c r="N22" i="10"/>
  <c r="N21" i="10"/>
  <c r="N20" i="10"/>
  <c r="N19" i="10"/>
  <c r="N18" i="10"/>
  <c r="E18" i="10"/>
  <c r="E28" i="10" s="1"/>
  <c r="P12" i="38" s="1"/>
  <c r="N17" i="10"/>
  <c r="N16" i="10"/>
  <c r="C16" i="10"/>
  <c r="B16" i="10"/>
  <c r="N15" i="10"/>
  <c r="N14" i="10"/>
  <c r="N13" i="10"/>
  <c r="N12" i="10"/>
  <c r="N11" i="10"/>
  <c r="N10" i="10"/>
  <c r="N9" i="10"/>
  <c r="N8" i="10"/>
  <c r="N7" i="10"/>
  <c r="N6" i="10"/>
  <c r="C6" i="10"/>
  <c r="N5" i="10"/>
  <c r="N4" i="10"/>
  <c r="H4" i="10"/>
  <c r="N3" i="10"/>
  <c r="B3" i="10"/>
  <c r="Q39" i="9"/>
  <c r="O39" i="9"/>
  <c r="N38" i="9"/>
  <c r="N37" i="9"/>
  <c r="N36" i="9"/>
  <c r="N35" i="9"/>
  <c r="N34" i="9"/>
  <c r="N33" i="9"/>
  <c r="N32" i="9"/>
  <c r="E32" i="9"/>
  <c r="N31" i="9"/>
  <c r="N30" i="9"/>
  <c r="N29" i="9"/>
  <c r="N28" i="9"/>
  <c r="N27" i="9"/>
  <c r="N26" i="9"/>
  <c r="E26" i="9"/>
  <c r="D26" i="9"/>
  <c r="N25" i="9"/>
  <c r="N24" i="9"/>
  <c r="E24" i="9"/>
  <c r="N23" i="9"/>
  <c r="N22" i="9"/>
  <c r="N21" i="9"/>
  <c r="N20" i="9"/>
  <c r="N19" i="9"/>
  <c r="N18" i="9"/>
  <c r="E18" i="9"/>
  <c r="E28" i="9" s="1"/>
  <c r="P11" i="38" s="1"/>
  <c r="N17" i="9"/>
  <c r="N16" i="9"/>
  <c r="C16" i="9"/>
  <c r="B16" i="9"/>
  <c r="N15" i="9"/>
  <c r="N14" i="9"/>
  <c r="N13" i="9"/>
  <c r="N12" i="9"/>
  <c r="N11" i="9"/>
  <c r="N10" i="9"/>
  <c r="N9" i="9"/>
  <c r="N8" i="9"/>
  <c r="N7" i="9"/>
  <c r="N6" i="9"/>
  <c r="C6" i="9"/>
  <c r="N5" i="9"/>
  <c r="N4" i="9"/>
  <c r="H4" i="9"/>
  <c r="N3" i="9"/>
  <c r="B3" i="9"/>
  <c r="Q39" i="8"/>
  <c r="O39" i="8"/>
  <c r="N38" i="8"/>
  <c r="N37" i="8"/>
  <c r="N36" i="8"/>
  <c r="N35" i="8"/>
  <c r="N34" i="8"/>
  <c r="N33" i="8"/>
  <c r="N32" i="8"/>
  <c r="E32" i="8"/>
  <c r="N31" i="8"/>
  <c r="N30" i="8"/>
  <c r="N29" i="8"/>
  <c r="N28" i="8"/>
  <c r="N27" i="8"/>
  <c r="N26" i="8"/>
  <c r="E26" i="8"/>
  <c r="D26" i="8"/>
  <c r="N25" i="8"/>
  <c r="N24" i="8"/>
  <c r="E24" i="8"/>
  <c r="N23" i="8"/>
  <c r="N22" i="8"/>
  <c r="N21" i="8"/>
  <c r="N20" i="8"/>
  <c r="N19" i="8"/>
  <c r="N18" i="8"/>
  <c r="E28" i="8"/>
  <c r="P10" i="38" s="1"/>
  <c r="N17" i="8"/>
  <c r="N16" i="8"/>
  <c r="C16" i="8"/>
  <c r="B16" i="8"/>
  <c r="N15" i="8"/>
  <c r="N14" i="8"/>
  <c r="N13" i="8"/>
  <c r="N12" i="8"/>
  <c r="N11" i="8"/>
  <c r="N10" i="8"/>
  <c r="N9" i="8"/>
  <c r="N8" i="8"/>
  <c r="N7" i="8"/>
  <c r="N6" i="8"/>
  <c r="C6" i="8"/>
  <c r="N5" i="8"/>
  <c r="N4" i="8"/>
  <c r="H4" i="8"/>
  <c r="N3" i="8"/>
  <c r="B3" i="8"/>
  <c r="Q39" i="7"/>
  <c r="O39" i="7"/>
  <c r="N38" i="7"/>
  <c r="N37" i="7"/>
  <c r="N36" i="7"/>
  <c r="N35" i="7"/>
  <c r="N34" i="7"/>
  <c r="N33" i="7"/>
  <c r="N32" i="7"/>
  <c r="E32" i="7"/>
  <c r="N31" i="7"/>
  <c r="N30" i="7"/>
  <c r="N29" i="7"/>
  <c r="N28" i="7"/>
  <c r="N27" i="7"/>
  <c r="N26" i="7"/>
  <c r="E26" i="7"/>
  <c r="D26" i="7"/>
  <c r="N25" i="7"/>
  <c r="N24" i="7"/>
  <c r="E24" i="7"/>
  <c r="N23" i="7"/>
  <c r="N22" i="7"/>
  <c r="N21" i="7"/>
  <c r="N20" i="7"/>
  <c r="N19" i="7"/>
  <c r="N18" i="7"/>
  <c r="E18" i="7"/>
  <c r="E28" i="7" s="1"/>
  <c r="P9" i="38" s="1"/>
  <c r="N17" i="7"/>
  <c r="N16" i="7"/>
  <c r="C16" i="7"/>
  <c r="B16" i="7"/>
  <c r="N15" i="7"/>
  <c r="N14" i="7"/>
  <c r="N13" i="7"/>
  <c r="N12" i="7"/>
  <c r="N11" i="7"/>
  <c r="N10" i="7"/>
  <c r="N9" i="7"/>
  <c r="N8" i="7"/>
  <c r="N7" i="7"/>
  <c r="N6" i="7"/>
  <c r="C6" i="7"/>
  <c r="N5" i="7"/>
  <c r="N4" i="7"/>
  <c r="H4" i="7"/>
  <c r="N3" i="7"/>
  <c r="B3" i="7"/>
  <c r="Q39" i="6"/>
  <c r="O39" i="6"/>
  <c r="N38" i="6"/>
  <c r="N37" i="6"/>
  <c r="N36" i="6"/>
  <c r="N35" i="6"/>
  <c r="N34" i="6"/>
  <c r="N33" i="6"/>
  <c r="N32" i="6"/>
  <c r="E32" i="6"/>
  <c r="N31" i="6"/>
  <c r="N30" i="6"/>
  <c r="N29" i="6"/>
  <c r="N28" i="6"/>
  <c r="N27" i="6"/>
  <c r="N26" i="6"/>
  <c r="E26" i="6"/>
  <c r="D26" i="6"/>
  <c r="N25" i="6"/>
  <c r="N24" i="6"/>
  <c r="E24" i="6"/>
  <c r="N23" i="6"/>
  <c r="N22" i="6"/>
  <c r="N21" i="6"/>
  <c r="N20" i="6"/>
  <c r="N19" i="6"/>
  <c r="N18" i="6"/>
  <c r="E18" i="6"/>
  <c r="E28" i="6" s="1"/>
  <c r="P8" i="38" s="1"/>
  <c r="N17" i="6"/>
  <c r="N16" i="6"/>
  <c r="C16" i="6"/>
  <c r="B16" i="6"/>
  <c r="N15" i="6"/>
  <c r="N14" i="6"/>
  <c r="N13" i="6"/>
  <c r="N12" i="6"/>
  <c r="N11" i="6"/>
  <c r="N10" i="6"/>
  <c r="N9" i="6"/>
  <c r="N8" i="6"/>
  <c r="N7" i="6"/>
  <c r="N6" i="6"/>
  <c r="C6" i="6"/>
  <c r="N5" i="6"/>
  <c r="N4" i="6"/>
  <c r="H4" i="6"/>
  <c r="N3" i="6"/>
  <c r="B3" i="6"/>
  <c r="Q39" i="5"/>
  <c r="O39" i="5"/>
  <c r="N38" i="5"/>
  <c r="N37" i="5"/>
  <c r="N36" i="5"/>
  <c r="N35" i="5"/>
  <c r="N34" i="5"/>
  <c r="N33" i="5"/>
  <c r="N32" i="5"/>
  <c r="E32" i="5"/>
  <c r="N31" i="5"/>
  <c r="N30" i="5"/>
  <c r="N29" i="5"/>
  <c r="N28" i="5"/>
  <c r="N27" i="5"/>
  <c r="N26" i="5"/>
  <c r="E26" i="5"/>
  <c r="D26" i="5"/>
  <c r="N25" i="5"/>
  <c r="N24" i="5"/>
  <c r="E24" i="5"/>
  <c r="N23" i="5"/>
  <c r="N22" i="5"/>
  <c r="N21" i="5"/>
  <c r="N20" i="5"/>
  <c r="N19" i="5"/>
  <c r="N18" i="5"/>
  <c r="E18" i="5"/>
  <c r="E28" i="5" s="1"/>
  <c r="P7" i="38" s="1"/>
  <c r="N17" i="5"/>
  <c r="N16" i="5"/>
  <c r="C16" i="5"/>
  <c r="B16" i="5"/>
  <c r="N15" i="5"/>
  <c r="N14" i="5"/>
  <c r="N13" i="5"/>
  <c r="N12" i="5"/>
  <c r="N11" i="5"/>
  <c r="N10" i="5"/>
  <c r="N9" i="5"/>
  <c r="N8" i="5"/>
  <c r="N7" i="5"/>
  <c r="N6" i="5"/>
  <c r="C6" i="5"/>
  <c r="N5" i="5"/>
  <c r="N4" i="5"/>
  <c r="H4" i="5"/>
  <c r="N3" i="5"/>
  <c r="B3" i="5"/>
  <c r="Q39" i="4"/>
  <c r="O39" i="4"/>
  <c r="N38" i="4"/>
  <c r="N37" i="4"/>
  <c r="N36" i="4"/>
  <c r="N35" i="4"/>
  <c r="N34" i="4"/>
  <c r="N33" i="4"/>
  <c r="N32" i="4"/>
  <c r="E32" i="4"/>
  <c r="N31" i="4"/>
  <c r="N30" i="4"/>
  <c r="N29" i="4"/>
  <c r="N28" i="4"/>
  <c r="N27" i="4"/>
  <c r="N26" i="4"/>
  <c r="N25" i="4"/>
  <c r="N24" i="4"/>
  <c r="E24" i="4"/>
  <c r="N23" i="4"/>
  <c r="N22" i="4"/>
  <c r="E22" i="4"/>
  <c r="N21" i="4"/>
  <c r="N20" i="4"/>
  <c r="N19" i="4"/>
  <c r="N18" i="4"/>
  <c r="E18" i="4"/>
  <c r="E28" i="4" s="1"/>
  <c r="P6" i="38" s="1"/>
  <c r="N17" i="4"/>
  <c r="N16" i="4"/>
  <c r="C16" i="4"/>
  <c r="B16" i="4"/>
  <c r="N15" i="4"/>
  <c r="N14" i="4"/>
  <c r="N13" i="4"/>
  <c r="N12" i="4"/>
  <c r="N11" i="4"/>
  <c r="N10" i="4"/>
  <c r="N9" i="4"/>
  <c r="N8" i="4"/>
  <c r="N7" i="4"/>
  <c r="N6" i="4"/>
  <c r="C6" i="4"/>
  <c r="N5" i="4"/>
  <c r="N4" i="4"/>
  <c r="H4" i="4"/>
  <c r="N3" i="4"/>
  <c r="B3" i="4"/>
  <c r="Q39" i="3"/>
  <c r="O39" i="3"/>
  <c r="N38" i="3"/>
  <c r="N37" i="3"/>
  <c r="N36" i="3"/>
  <c r="N35" i="3"/>
  <c r="N34" i="3"/>
  <c r="N33" i="3"/>
  <c r="N32" i="3"/>
  <c r="E32" i="3"/>
  <c r="N31" i="3"/>
  <c r="N30" i="3"/>
  <c r="N29" i="3"/>
  <c r="N28" i="3"/>
  <c r="N27" i="3"/>
  <c r="N26" i="3"/>
  <c r="N25" i="3"/>
  <c r="N24" i="3"/>
  <c r="E24" i="3"/>
  <c r="N23" i="3"/>
  <c r="N22" i="3"/>
  <c r="E22" i="3"/>
  <c r="N21" i="3"/>
  <c r="N20" i="3"/>
  <c r="N19" i="3"/>
  <c r="N18" i="3"/>
  <c r="E18" i="3"/>
  <c r="E28" i="3" s="1"/>
  <c r="P5" i="38" s="1"/>
  <c r="N17" i="3"/>
  <c r="N16" i="3"/>
  <c r="C16" i="3"/>
  <c r="B16" i="3"/>
  <c r="N15" i="3"/>
  <c r="N14" i="3"/>
  <c r="N13" i="3"/>
  <c r="N12" i="3"/>
  <c r="N11" i="3"/>
  <c r="N10" i="3"/>
  <c r="N9" i="3"/>
  <c r="N8" i="3"/>
  <c r="N7" i="3"/>
  <c r="N6" i="3"/>
  <c r="C6" i="3"/>
  <c r="N5" i="3"/>
  <c r="N4" i="3"/>
  <c r="H4" i="3"/>
  <c r="N3" i="3"/>
  <c r="B3" i="3"/>
  <c r="Q39" i="2"/>
  <c r="O39" i="2"/>
  <c r="N38" i="2"/>
  <c r="N37" i="2"/>
  <c r="N36" i="2"/>
  <c r="N35" i="2"/>
  <c r="N34" i="2"/>
  <c r="N33" i="2"/>
  <c r="N32" i="2"/>
  <c r="F32" i="2"/>
  <c r="N31" i="2"/>
  <c r="N30" i="2"/>
  <c r="N29" i="2"/>
  <c r="N28" i="2"/>
  <c r="N27" i="2"/>
  <c r="N26" i="2"/>
  <c r="F26" i="2"/>
  <c r="N25" i="2"/>
  <c r="N24" i="2"/>
  <c r="F24" i="2"/>
  <c r="N23" i="2"/>
  <c r="N22" i="2"/>
  <c r="N21" i="2"/>
  <c r="N20" i="2"/>
  <c r="N19" i="2"/>
  <c r="N18" i="2"/>
  <c r="F18" i="2"/>
  <c r="F28" i="2" s="1"/>
  <c r="P4" i="38" s="1"/>
  <c r="N17" i="2"/>
  <c r="N16" i="2"/>
  <c r="D16" i="2"/>
  <c r="B16" i="2"/>
  <c r="N15" i="2"/>
  <c r="N14" i="2"/>
  <c r="N13" i="2"/>
  <c r="N12" i="2"/>
  <c r="N11" i="2"/>
  <c r="N10" i="2"/>
  <c r="N9" i="2"/>
  <c r="N8" i="2"/>
  <c r="N7" i="2"/>
  <c r="N6" i="2"/>
  <c r="D6" i="2"/>
  <c r="N5" i="2"/>
  <c r="N4" i="2"/>
  <c r="G4" i="2"/>
  <c r="N3" i="2"/>
  <c r="B3" i="2"/>
  <c r="P39" i="1"/>
  <c r="N39" i="1"/>
  <c r="M38" i="1"/>
  <c r="M37" i="1"/>
  <c r="M36" i="1"/>
  <c r="M35" i="1"/>
  <c r="M34" i="1"/>
  <c r="M33" i="1"/>
  <c r="M32" i="1"/>
  <c r="D32" i="1"/>
  <c r="M31" i="1"/>
  <c r="M30" i="1"/>
  <c r="M29" i="1"/>
  <c r="M28" i="1"/>
  <c r="M27" i="1"/>
  <c r="M26" i="1"/>
  <c r="M25" i="1"/>
  <c r="M24" i="1"/>
  <c r="D24" i="1"/>
  <c r="M23" i="1"/>
  <c r="M22" i="1"/>
  <c r="D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E16" i="6" l="1"/>
  <c r="E16" i="5"/>
  <c r="I3" i="38"/>
  <c r="K3" i="38" s="1"/>
  <c r="E16" i="3"/>
  <c r="E16" i="11"/>
  <c r="E16" i="4"/>
  <c r="E16" i="10"/>
  <c r="E20" i="9"/>
  <c r="K10" i="38"/>
  <c r="Q10" i="38" s="1"/>
  <c r="X10" i="38" s="1"/>
  <c r="E20" i="8"/>
  <c r="K6" i="38"/>
  <c r="E20" i="4"/>
  <c r="K5" i="38"/>
  <c r="Q5" i="38" s="1"/>
  <c r="X5" i="38" s="1"/>
  <c r="E20" i="3"/>
  <c r="E30" i="3" s="1"/>
  <c r="E34" i="3" s="1"/>
  <c r="K4" i="38"/>
  <c r="Q4" i="38" s="1"/>
  <c r="X4" i="38" s="1"/>
  <c r="F20" i="2"/>
  <c r="E20" i="7"/>
  <c r="K9" i="38"/>
  <c r="K13" i="38"/>
  <c r="F16" i="2"/>
  <c r="F22" i="2"/>
  <c r="E16" i="7"/>
  <c r="E22" i="8"/>
  <c r="E16" i="9"/>
  <c r="E22" i="5"/>
  <c r="E22" i="9"/>
  <c r="Q11" i="38"/>
  <c r="X11" i="38" s="1"/>
  <c r="E22" i="10"/>
  <c r="E22" i="11"/>
  <c r="K12" i="38"/>
  <c r="E20" i="10"/>
  <c r="E20" i="5"/>
  <c r="K7" i="38"/>
  <c r="Q7" i="38" s="1"/>
  <c r="X7" i="38" s="1"/>
  <c r="K8" i="38"/>
  <c r="Q8" i="38" s="1"/>
  <c r="X8" i="38" s="1"/>
  <c r="E20" i="6"/>
  <c r="E16" i="8"/>
  <c r="E22" i="6"/>
  <c r="E22" i="7"/>
  <c r="F30" i="2" l="1"/>
  <c r="F34" i="2" s="1"/>
  <c r="E30" i="8"/>
  <c r="E34" i="8" s="1"/>
  <c r="Q13" i="38"/>
  <c r="X13" i="38" s="1"/>
  <c r="Q6" i="38"/>
  <c r="X6" i="38" s="1"/>
  <c r="E30" i="5"/>
  <c r="E34" i="5" s="1"/>
  <c r="E30" i="6"/>
  <c r="E34" i="6" s="1"/>
  <c r="E30" i="7"/>
  <c r="E34" i="7" s="1"/>
  <c r="E30" i="9"/>
  <c r="E34" i="9" s="1"/>
  <c r="Q9" i="38"/>
  <c r="X9" i="38" s="1"/>
  <c r="S11" i="38"/>
  <c r="S4" i="38"/>
  <c r="E30" i="10"/>
  <c r="E34" i="10" s="1"/>
  <c r="Q3" i="38"/>
  <c r="D20" i="1"/>
  <c r="D30" i="1" s="1"/>
  <c r="D34" i="1" s="1"/>
  <c r="S7" i="38"/>
  <c r="S5" i="38"/>
  <c r="Q12" i="38"/>
  <c r="X12" i="38" s="1"/>
  <c r="S8" i="38"/>
  <c r="S10" i="38"/>
  <c r="E30" i="11"/>
  <c r="E34" i="11" s="1"/>
  <c r="E30" i="4"/>
  <c r="E34" i="4" s="1"/>
  <c r="Q14" i="38" l="1"/>
  <c r="X3" i="38"/>
  <c r="S13" i="38"/>
  <c r="S9" i="38"/>
  <c r="S6" i="38"/>
  <c r="S12" i="38"/>
  <c r="S3" i="38" l="1"/>
  <c r="C10" i="3"/>
  <c r="D10" i="2"/>
  <c r="C10" i="4"/>
  <c r="C12" i="3"/>
  <c r="C12" i="4"/>
  <c r="D12" i="2"/>
</calcChain>
</file>

<file path=xl/sharedStrings.xml><?xml version="1.0" encoding="utf-8"?>
<sst xmlns="http://schemas.openxmlformats.org/spreadsheetml/2006/main" count="498" uniqueCount="131">
  <si>
    <t>WATER BILL</t>
  </si>
  <si>
    <t>ISSUE DATE</t>
  </si>
  <si>
    <t>LAST PAY DATE</t>
  </si>
  <si>
    <t>PREVIOUS READING</t>
  </si>
  <si>
    <t>CURRENT READING</t>
  </si>
  <si>
    <t>CONSUMPTION</t>
  </si>
  <si>
    <t>BILL NO.</t>
  </si>
  <si>
    <t>TENANT NAME</t>
  </si>
  <si>
    <t>LAST ACCOUNT</t>
  </si>
  <si>
    <t>MONTH BILL</t>
  </si>
  <si>
    <t>ADJUSTMENT</t>
  </si>
  <si>
    <t>TOTAL PAYABLE</t>
  </si>
  <si>
    <t>NOTE</t>
  </si>
  <si>
    <t>KSHS.</t>
  </si>
  <si>
    <t>Units</t>
  </si>
  <si>
    <t>kshs.</t>
  </si>
  <si>
    <t>1A</t>
  </si>
  <si>
    <t>Kshs.</t>
  </si>
  <si>
    <t>CONSUMPTION (Units)</t>
  </si>
  <si>
    <t xml:space="preserve">PREVIOUS READING </t>
  </si>
  <si>
    <t xml:space="preserve">MONTH HOUSE RENT </t>
  </si>
  <si>
    <t>3A</t>
  </si>
  <si>
    <t>2A</t>
  </si>
  <si>
    <t>LAST ACCOUNT B/F</t>
  </si>
  <si>
    <t>RENT</t>
  </si>
  <si>
    <t>TOTAL</t>
  </si>
  <si>
    <t>PAID</t>
  </si>
  <si>
    <t>P.O BOX 9473-00200 NAIROBI</t>
  </si>
  <si>
    <t>PERIOD</t>
  </si>
  <si>
    <t>PREVIOUS</t>
  </si>
  <si>
    <t>CURRENT</t>
  </si>
  <si>
    <t>READING</t>
  </si>
  <si>
    <t>HOUSE</t>
  </si>
  <si>
    <t>Fixed Charge</t>
  </si>
  <si>
    <t>RATE</t>
  </si>
  <si>
    <t>INTEREST ON ARREARS</t>
  </si>
  <si>
    <t xml:space="preserve"> </t>
  </si>
  <si>
    <t>Total H2O Bill</t>
  </si>
  <si>
    <t>ADJUSTMENT-interest on arrears</t>
  </si>
  <si>
    <t>Rent is due on or before 5th of the month. By 7th day, any rent not paid will attract interest at 2% per day.</t>
  </si>
  <si>
    <t>HOUSE NUMBER</t>
  </si>
  <si>
    <t>HOUSE NUMBER:</t>
  </si>
  <si>
    <t>HOUSE NUMBER;</t>
  </si>
  <si>
    <t>HOUSE  NUMBER:</t>
  </si>
  <si>
    <t>INTEREST ON LATE PAYMENT</t>
  </si>
  <si>
    <t>AMOUNT KSHS</t>
  </si>
  <si>
    <t>Amount (Kshs.)</t>
  </si>
  <si>
    <t>Amount (Kshs)</t>
  </si>
  <si>
    <t>Amount(Kshs)</t>
  </si>
  <si>
    <t>a)</t>
  </si>
  <si>
    <t>b)</t>
  </si>
  <si>
    <t>c)</t>
  </si>
  <si>
    <t>d)</t>
  </si>
  <si>
    <t>e)</t>
  </si>
  <si>
    <t>f)</t>
  </si>
  <si>
    <t>ADJUSTMENT (Interest late payment)</t>
  </si>
  <si>
    <t>Penalty &amp; Interest late payment</t>
  </si>
  <si>
    <t>PUMP/POWER CHARGES</t>
  </si>
  <si>
    <t>REMARKS</t>
  </si>
  <si>
    <t>BAL C/F</t>
  </si>
  <si>
    <t>BAL B/F</t>
  </si>
  <si>
    <t>AMOUNT DUE</t>
  </si>
  <si>
    <t>INTEREST &amp; PENALTY</t>
  </si>
  <si>
    <t>PAY &amp; VACATE, REPAIRS CHARGES OF 8,400/- REMAINS TILL NEW TENANT LEAVES, THEN WE REPAIR</t>
  </si>
  <si>
    <t>NAMES</t>
  </si>
  <si>
    <t>salary</t>
  </si>
  <si>
    <t>EARLY DISCOUNT 3%</t>
  </si>
  <si>
    <t>MAY</t>
  </si>
  <si>
    <t>JUNE</t>
  </si>
  <si>
    <t>JUL</t>
  </si>
  <si>
    <t>TAX DUE</t>
  </si>
  <si>
    <t>VAR</t>
  </si>
  <si>
    <t>cost @160/=</t>
  </si>
  <si>
    <t>GARBAGE FEE</t>
  </si>
  <si>
    <t>NELSON</t>
  </si>
  <si>
    <t>Hse No.</t>
  </si>
  <si>
    <t>……………</t>
  </si>
  <si>
    <t>G FA</t>
  </si>
  <si>
    <t>G FB</t>
  </si>
  <si>
    <t>1B</t>
  </si>
  <si>
    <t>2B</t>
  </si>
  <si>
    <t>3B</t>
  </si>
  <si>
    <t>1C</t>
  </si>
  <si>
    <t>2C</t>
  </si>
  <si>
    <t>3C</t>
  </si>
  <si>
    <t>CHARLES MOMANYI</t>
  </si>
  <si>
    <t>VERONICAH</t>
  </si>
  <si>
    <t>EVELYNE</t>
  </si>
  <si>
    <t>GLADYS</t>
  </si>
  <si>
    <t>DUKE</t>
  </si>
  <si>
    <t>VINCENT</t>
  </si>
  <si>
    <t>NECODEMUS</t>
  </si>
  <si>
    <t>GFA</t>
  </si>
  <si>
    <t>GFB</t>
  </si>
  <si>
    <t>O715656000</t>
  </si>
  <si>
    <t>O726263214</t>
  </si>
  <si>
    <t>O722953105</t>
  </si>
  <si>
    <t>O793790309</t>
  </si>
  <si>
    <t>O702681920</t>
  </si>
  <si>
    <t>O799745396</t>
  </si>
  <si>
    <t>O725253220</t>
  </si>
  <si>
    <t>O713373975</t>
  </si>
  <si>
    <t>O701403937</t>
  </si>
  <si>
    <t>O701269097</t>
  </si>
  <si>
    <t>OLE SAMEDHA EMBASSY</t>
  </si>
  <si>
    <t>NOTE:KINDLY FORWARD SMS AFTER PAYMENT TO  0700194262 INDICATING HOUSE NO</t>
  </si>
  <si>
    <t>LAST COUNT</t>
  </si>
  <si>
    <t>Intrest on arrears</t>
  </si>
  <si>
    <t>gabbage fee</t>
  </si>
  <si>
    <t>month hse rent</t>
  </si>
  <si>
    <t>pump pwr charge</t>
  </si>
  <si>
    <t>month bill</t>
  </si>
  <si>
    <t>agnes</t>
  </si>
  <si>
    <t>phone number</t>
  </si>
  <si>
    <t>o718176579</t>
  </si>
  <si>
    <t>VACCANT</t>
  </si>
  <si>
    <t>29TH JAN 026</t>
  </si>
  <si>
    <t>5TH FEB 2026</t>
  </si>
  <si>
    <t>ACC NO EMB GFA</t>
  </si>
  <si>
    <t>PAY BILL 4139271</t>
  </si>
  <si>
    <t>ACC NO EMB GFB</t>
  </si>
  <si>
    <t>ACC NO EMB 1A</t>
  </si>
  <si>
    <t>ACC NO EMB 2A</t>
  </si>
  <si>
    <t>ACC NO EMB 3A</t>
  </si>
  <si>
    <t>ACC NO EMB 1B</t>
  </si>
  <si>
    <t xml:space="preserve">PAY BILL 4139271 </t>
  </si>
  <si>
    <t>ACC NO EMB 2B</t>
  </si>
  <si>
    <t>ACC NO EMB 3B</t>
  </si>
  <si>
    <t>ACC NO EMB 1C</t>
  </si>
  <si>
    <t>ACC NO EMB 2C</t>
  </si>
  <si>
    <t>ACC NO EMB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</si>
</sst>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29" x14ac:knownFonts="1">
    <font>
      <sz val="11"/>
      <name val="Calibri"/>
    </font>
    <font>
      <sz val="11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sz val="25"/>
      <name val="Calibri"/>
      <family val="2"/>
    </font>
    <font>
      <sz val="25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24"/>
      <name val="Calibri"/>
      <family val="2"/>
    </font>
    <font>
      <b/>
      <i/>
      <sz val="24"/>
      <name val="Calibri"/>
      <family val="2"/>
    </font>
    <font>
      <b/>
      <i/>
      <sz val="16"/>
      <name val="Calibri"/>
      <family val="2"/>
    </font>
    <font>
      <b/>
      <sz val="26"/>
      <name val="Calibri"/>
      <family val="2"/>
    </font>
    <font>
      <b/>
      <i/>
      <sz val="26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i/>
      <sz val="8"/>
      <color rgb="FFFF0000"/>
      <name val="Calibri"/>
      <family val="2"/>
    </font>
    <font>
      <b/>
      <i/>
      <sz val="8"/>
      <name val="Calibri"/>
      <family val="2"/>
    </font>
    <font>
      <i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1" fillId="0" borderId="0">
      <protection locked="0"/>
    </xf>
    <xf numFmtId="9" fontId="1" fillId="0" borderId="0">
      <protection locked="0"/>
    </xf>
  </cellStyleXfs>
  <cellXfs count="83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1" fillId="0" borderId="1" xfId="1" applyNumberFormat="1" applyFont="1" applyBorder="1" applyProtection="1"/>
    <xf numFmtId="0" fontId="6" fillId="0" borderId="1" xfId="0" applyFont="1" applyBorder="1" applyAlignment="1"/>
    <xf numFmtId="164" fontId="1" fillId="0" borderId="1" xfId="0" applyNumberFormat="1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9" fontId="4" fillId="0" borderId="1" xfId="2" applyFont="1" applyBorder="1" applyProtection="1"/>
    <xf numFmtId="0" fontId="8" fillId="2" borderId="1" xfId="0" applyFont="1" applyFill="1" applyBorder="1" applyAlignment="1"/>
    <xf numFmtId="0" fontId="4" fillId="0" borderId="1" xfId="0" applyFont="1" applyBorder="1" applyAlignment="1">
      <alignment horizontal="left"/>
    </xf>
    <xf numFmtId="49" fontId="1" fillId="0" borderId="1" xfId="0" applyNumberFormat="1" applyFont="1" applyBorder="1" applyAlignment="1"/>
    <xf numFmtId="14" fontId="1" fillId="0" borderId="1" xfId="0" applyNumberFormat="1" applyFont="1" applyBorder="1" applyAlignment="1"/>
    <xf numFmtId="18" fontId="1" fillId="0" borderId="1" xfId="0" applyNumberFormat="1" applyFont="1" applyBorder="1" applyAlignment="1"/>
    <xf numFmtId="0" fontId="9" fillId="0" borderId="0" xfId="0" applyFont="1" applyAlignment="1"/>
    <xf numFmtId="164" fontId="9" fillId="0" borderId="0" xfId="1" applyNumberFormat="1" applyFont="1" applyProtection="1"/>
    <xf numFmtId="0" fontId="9" fillId="0" borderId="1" xfId="0" applyFont="1" applyBorder="1" applyAlignment="1"/>
    <xf numFmtId="164" fontId="9" fillId="0" borderId="1" xfId="1" applyNumberFormat="1" applyFont="1" applyBorder="1" applyProtection="1"/>
    <xf numFmtId="0" fontId="10" fillId="0" borderId="0" xfId="0" applyFont="1" applyAlignment="1"/>
    <xf numFmtId="0" fontId="10" fillId="0" borderId="1" xfId="0" applyFont="1" applyBorder="1" applyAlignment="1"/>
    <xf numFmtId="164" fontId="10" fillId="0" borderId="1" xfId="1" applyNumberFormat="1" applyFont="1" applyBorder="1" applyProtection="1"/>
    <xf numFmtId="164" fontId="10" fillId="0" borderId="0" xfId="1" applyNumberFormat="1" applyFont="1" applyProtection="1"/>
    <xf numFmtId="164" fontId="9" fillId="0" borderId="1" xfId="0" applyNumberFormat="1" applyFont="1" applyBorder="1" applyAlignment="1"/>
    <xf numFmtId="164" fontId="9" fillId="0" borderId="0" xfId="0" applyNumberFormat="1" applyFont="1" applyAlignment="1"/>
    <xf numFmtId="3" fontId="9" fillId="0" borderId="0" xfId="0" applyNumberFormat="1" applyFont="1" applyAlignment="1"/>
    <xf numFmtId="165" fontId="9" fillId="0" borderId="0" xfId="1" applyNumberFormat="1" applyFont="1" applyProtection="1"/>
    <xf numFmtId="164" fontId="11" fillId="0" borderId="0" xfId="1" applyNumberFormat="1" applyProtection="1"/>
    <xf numFmtId="164" fontId="12" fillId="0" borderId="0" xfId="1" applyNumberFormat="1" applyFont="1" applyProtection="1"/>
    <xf numFmtId="0" fontId="13" fillId="0" borderId="1" xfId="0" applyFont="1" applyBorder="1" applyAlignment="1"/>
    <xf numFmtId="0" fontId="9" fillId="0" borderId="2" xfId="0" applyFont="1" applyBorder="1" applyAlignment="1"/>
    <xf numFmtId="0" fontId="14" fillId="0" borderId="1" xfId="0" applyFont="1" applyBorder="1" applyAlignment="1"/>
    <xf numFmtId="0" fontId="15" fillId="0" borderId="1" xfId="0" applyFont="1" applyBorder="1" applyAlignment="1"/>
    <xf numFmtId="0" fontId="16" fillId="0" borderId="1" xfId="0" applyFont="1" applyBorder="1" applyAlignment="1"/>
    <xf numFmtId="0" fontId="1" fillId="0" borderId="0" xfId="0" applyFont="1">
      <alignment vertical="center"/>
    </xf>
    <xf numFmtId="164" fontId="9" fillId="0" borderId="2" xfId="0" applyNumberFormat="1" applyFont="1" applyBorder="1" applyAlignment="1"/>
    <xf numFmtId="17" fontId="9" fillId="0" borderId="1" xfId="0" applyNumberFormat="1" applyFont="1" applyBorder="1" applyAlignment="1"/>
    <xf numFmtId="0" fontId="9" fillId="2" borderId="0" xfId="0" applyFont="1" applyFill="1" applyAlignment="1"/>
    <xf numFmtId="164" fontId="17" fillId="2" borderId="1" xfId="1" applyNumberFormat="1" applyFont="1" applyFill="1" applyBorder="1" applyProtection="1"/>
    <xf numFmtId="164" fontId="9" fillId="2" borderId="1" xfId="1" applyNumberFormat="1" applyFont="1" applyFill="1" applyBorder="1" applyProtection="1"/>
    <xf numFmtId="0" fontId="18" fillId="3" borderId="1" xfId="0" applyFont="1" applyFill="1" applyBorder="1" applyAlignment="1"/>
    <xf numFmtId="0" fontId="9" fillId="4" borderId="1" xfId="0" applyFont="1" applyFill="1" applyBorder="1" applyAlignment="1"/>
    <xf numFmtId="17" fontId="9" fillId="4" borderId="1" xfId="0" applyNumberFormat="1" applyFont="1" applyFill="1" applyBorder="1" applyAlignment="1"/>
    <xf numFmtId="164" fontId="9" fillId="4" borderId="1" xfId="1" applyNumberFormat="1" applyFont="1" applyFill="1" applyBorder="1" applyProtection="1"/>
    <xf numFmtId="164" fontId="9" fillId="4" borderId="2" xfId="0" applyNumberFormat="1" applyFont="1" applyFill="1" applyBorder="1" applyAlignment="1"/>
    <xf numFmtId="164" fontId="9" fillId="4" borderId="1" xfId="0" applyNumberFormat="1" applyFont="1" applyFill="1" applyBorder="1" applyAlignment="1"/>
    <xf numFmtId="0" fontId="9" fillId="4" borderId="0" xfId="0" applyFont="1" applyFill="1" applyAlignment="1"/>
    <xf numFmtId="0" fontId="1" fillId="4" borderId="0" xfId="0" applyFont="1" applyFill="1">
      <alignment vertical="center"/>
    </xf>
    <xf numFmtId="0" fontId="4" fillId="0" borderId="0" xfId="0" applyFont="1">
      <alignment vertical="center"/>
    </xf>
    <xf numFmtId="0" fontId="19" fillId="0" borderId="1" xfId="0" applyFont="1" applyBorder="1" applyAlignment="1"/>
    <xf numFmtId="0" fontId="20" fillId="0" borderId="1" xfId="0" applyFont="1" applyBorder="1" applyAlignment="1"/>
    <xf numFmtId="0" fontId="19" fillId="0" borderId="0" xfId="0" applyFont="1">
      <alignment vertical="center"/>
    </xf>
    <xf numFmtId="0" fontId="21" fillId="0" borderId="1" xfId="0" applyFont="1" applyBorder="1" applyAlignment="1"/>
    <xf numFmtId="0" fontId="10" fillId="0" borderId="0" xfId="0" applyFont="1">
      <alignment vertical="center"/>
    </xf>
    <xf numFmtId="0" fontId="22" fillId="0" borderId="1" xfId="0" applyFont="1" applyBorder="1" applyAlignment="1"/>
    <xf numFmtId="0" fontId="23" fillId="0" borderId="1" xfId="0" applyFont="1" applyBorder="1" applyAlignment="1"/>
    <xf numFmtId="0" fontId="22" fillId="0" borderId="0" xfId="0" applyFont="1">
      <alignment vertical="center"/>
    </xf>
    <xf numFmtId="0" fontId="24" fillId="0" borderId="1" xfId="0" applyFont="1" applyBorder="1" applyAlignment="1"/>
    <xf numFmtId="0" fontId="25" fillId="0" borderId="1" xfId="0" applyFont="1" applyBorder="1" applyAlignment="1"/>
    <xf numFmtId="0" fontId="24" fillId="0" borderId="0" xfId="0" applyFont="1">
      <alignment vertical="center"/>
    </xf>
    <xf numFmtId="14" fontId="24" fillId="0" borderId="1" xfId="0" applyNumberFormat="1" applyFont="1" applyBorder="1" applyAlignment="1"/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right"/>
    </xf>
    <xf numFmtId="164" fontId="24" fillId="0" borderId="1" xfId="1" applyNumberFormat="1" applyFont="1" applyBorder="1" applyProtection="1"/>
    <xf numFmtId="164" fontId="24" fillId="0" borderId="1" xfId="0" applyNumberFormat="1" applyFont="1" applyBorder="1" applyAlignment="1"/>
    <xf numFmtId="0" fontId="26" fillId="0" borderId="1" xfId="0" applyFont="1" applyBorder="1" applyAlignment="1"/>
    <xf numFmtId="0" fontId="27" fillId="0" borderId="1" xfId="0" applyFont="1" applyBorder="1" applyAlignment="1"/>
    <xf numFmtId="0" fontId="28" fillId="0" borderId="1" xfId="0" applyFont="1" applyBorder="1" applyAlignment="1"/>
    <xf numFmtId="15" fontId="24" fillId="0" borderId="1" xfId="0" applyNumberFormat="1" applyFont="1" applyBorder="1" applyAlignment="1"/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411736</xdr:colOff>
      <xdr:row>42</xdr:row>
      <xdr:rowOff>123758</xdr:rowOff>
    </xdr:from>
    <xdr:ext cx="468013" cy="63394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48EDD-A711-4410-AE55-D804A9B2D76A}"/>
            </a:ext>
          </a:extLst>
        </xdr:cNvPr>
        <xdr:cNvSpPr/>
      </xdr:nvSpPr>
      <xdr:spPr>
        <a:xfrm rot="18847942" flipH="1">
          <a:off x="5027773" y="8874471"/>
          <a:ext cx="63394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807966</xdr:colOff>
      <xdr:row>1</xdr:row>
      <xdr:rowOff>285750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260FCD-C326-400E-9947-26353EFB62AE}"/>
            </a:ext>
          </a:extLst>
        </xdr:cNvPr>
        <xdr:cNvSpPr/>
      </xdr:nvSpPr>
      <xdr:spPr>
        <a:xfrm rot="18847942">
          <a:off x="-884805" y="3708896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Rent is due on or before 5th of the month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363466</xdr:colOff>
      <xdr:row>24</xdr:row>
      <xdr:rowOff>126999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61FA64-BD5D-4873-B0CD-5A69F2BD0DDA}"/>
            </a:ext>
          </a:extLst>
        </xdr:cNvPr>
        <xdr:cNvSpPr/>
      </xdr:nvSpPr>
      <xdr:spPr>
        <a:xfrm rot="18847942">
          <a:off x="12164445" y="8296770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before 5th of the month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839716</xdr:colOff>
      <xdr:row>3</xdr:row>
      <xdr:rowOff>190500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AE8233-0421-4DF1-8A76-3C38B0341A2F}"/>
            </a:ext>
          </a:extLst>
        </xdr:cNvPr>
        <xdr:cNvSpPr/>
      </xdr:nvSpPr>
      <xdr:spPr>
        <a:xfrm rot="18847942">
          <a:off x="-884805" y="4105771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474592</xdr:colOff>
      <xdr:row>0</xdr:row>
      <xdr:rowOff>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BFC319-04DB-46B2-AD5B-DF7019CB2B39}"/>
            </a:ext>
          </a:extLst>
        </xdr:cNvPr>
        <xdr:cNvSpPr/>
      </xdr:nvSpPr>
      <xdr:spPr>
        <a:xfrm rot="18847942">
          <a:off x="-884804" y="3232646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903215</xdr:colOff>
      <xdr:row>1</xdr:row>
      <xdr:rowOff>79375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C99962-52FA-4F20-97E9-A2C8027C561E}"/>
            </a:ext>
          </a:extLst>
        </xdr:cNvPr>
        <xdr:cNvSpPr/>
      </xdr:nvSpPr>
      <xdr:spPr>
        <a:xfrm rot="18847942">
          <a:off x="-599056" y="3502521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299967</xdr:colOff>
      <xdr:row>0</xdr:row>
      <xdr:rowOff>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20B0F5B-793C-4F4D-B633-8B885317F397}"/>
            </a:ext>
          </a:extLst>
        </xdr:cNvPr>
        <xdr:cNvSpPr/>
      </xdr:nvSpPr>
      <xdr:spPr>
        <a:xfrm rot="18847942">
          <a:off x="-884804" y="3232646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887341</xdr:colOff>
      <xdr:row>1</xdr:row>
      <xdr:rowOff>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68064F-3C42-4ED0-97A2-46812C517720}"/>
            </a:ext>
          </a:extLst>
        </xdr:cNvPr>
        <xdr:cNvSpPr/>
      </xdr:nvSpPr>
      <xdr:spPr>
        <a:xfrm rot="18847942">
          <a:off x="-440305" y="3423146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157091</xdr:colOff>
      <xdr:row>2</xdr:row>
      <xdr:rowOff>174626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2620F7-C647-48C2-9173-893EED770950}"/>
            </a:ext>
          </a:extLst>
        </xdr:cNvPr>
        <xdr:cNvSpPr/>
      </xdr:nvSpPr>
      <xdr:spPr>
        <a:xfrm rot="18847942">
          <a:off x="-884805" y="3899397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14216</xdr:colOff>
      <xdr:row>0</xdr:row>
      <xdr:rowOff>0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4C70D7-D960-44DF-A0A7-938248781D03}"/>
            </a:ext>
          </a:extLst>
        </xdr:cNvPr>
        <xdr:cNvSpPr/>
      </xdr:nvSpPr>
      <xdr:spPr>
        <a:xfrm rot="18847942">
          <a:off x="-884805" y="3232646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762000</xdr:colOff>
      <xdr:row>1</xdr:row>
      <xdr:rowOff>47625</xdr:rowOff>
    </xdr:from>
    <xdr:ext cx="468013" cy="693330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DD8A53-8AA9-4E6D-8173-7BE4D56911B5}"/>
            </a:ext>
          </a:extLst>
        </xdr:cNvPr>
        <xdr:cNvSpPr/>
      </xdr:nvSpPr>
      <xdr:spPr>
        <a:xfrm rot="18847942">
          <a:off x="-581521" y="3470771"/>
          <a:ext cx="6933306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 w="22225">
                <a:solidFill>
                  <a:srgbClr val="C0504D"/>
                </a:solidFill>
                <a:prstDash val="solid"/>
              </a:ln>
              <a:solidFill>
                <a:srgbClr val="C0504D">
                  <a:lumMod val="40000"/>
                  <a:lumOff val="60000"/>
                </a:srgbClr>
              </a:solidFill>
              <a:effectLst/>
              <a:uLnTx/>
              <a:uFillTx/>
            </a:rPr>
            <a:t>Rent is due on or before 5th of the month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U53"/>
  <sheetViews>
    <sheetView view="pageLayout" topLeftCell="A31" zoomScaleNormal="60" workbookViewId="0">
      <selection activeCell="B37" sqref="B37"/>
    </sheetView>
  </sheetViews>
  <sheetFormatPr defaultColWidth="9" defaultRowHeight="10.5" x14ac:dyDescent="0.25"/>
  <cols>
    <col min="1" max="1" width="5.81640625" style="63" customWidth="1"/>
    <col min="2" max="2" width="20.7265625" style="63" customWidth="1"/>
    <col min="3" max="3" width="14.81640625" style="63" customWidth="1"/>
    <col min="4" max="4" width="21" style="63" customWidth="1"/>
    <col min="5" max="5" width="0.7265625" style="63" customWidth="1"/>
    <col min="6" max="6" width="9.1796875" style="63" customWidth="1"/>
    <col min="7" max="7" width="13.1796875" style="63" customWidth="1"/>
    <col min="8" max="8" width="10.7265625" style="63" customWidth="1"/>
    <col min="9" max="16" width="9.1796875" style="63" customWidth="1"/>
    <col min="17" max="17" width="0" style="63" hidden="1"/>
    <col min="18" max="255" width="9.1796875" style="63" customWidth="1"/>
    <col min="256" max="16384" width="9" style="65"/>
  </cols>
  <sheetData>
    <row r="2" spans="2:14" x14ac:dyDescent="0.25">
      <c r="B2" s="64" t="s">
        <v>104</v>
      </c>
      <c r="M2" s="63" t="s">
        <v>71</v>
      </c>
      <c r="N2" s="63" t="s">
        <v>70</v>
      </c>
    </row>
    <row r="3" spans="2:14" x14ac:dyDescent="0.25">
      <c r="B3" s="63" t="s">
        <v>27</v>
      </c>
      <c r="M3" s="63">
        <f>N3-P3</f>
        <v>10270</v>
      </c>
      <c r="N3" s="63">
        <v>10270</v>
      </c>
    </row>
    <row r="4" spans="2:14" x14ac:dyDescent="0.25">
      <c r="B4" s="64" t="s">
        <v>0</v>
      </c>
      <c r="F4" s="63" t="s">
        <v>6</v>
      </c>
      <c r="G4" s="63">
        <v>20242001</v>
      </c>
      <c r="M4" s="63">
        <f t="shared" ref="M4:M38" si="0">N4-P4</f>
        <v>10304</v>
      </c>
      <c r="N4" s="63">
        <v>10304</v>
      </c>
    </row>
    <row r="5" spans="2:14" x14ac:dyDescent="0.25">
      <c r="M5" s="63">
        <f t="shared" si="0"/>
        <v>10988</v>
      </c>
      <c r="N5" s="63">
        <v>10988</v>
      </c>
    </row>
    <row r="6" spans="2:14" x14ac:dyDescent="0.25">
      <c r="B6" s="63" t="s">
        <v>7</v>
      </c>
      <c r="M6" s="63">
        <f t="shared" si="0"/>
        <v>11070</v>
      </c>
      <c r="N6" s="63">
        <v>11070</v>
      </c>
    </row>
    <row r="7" spans="2:14" x14ac:dyDescent="0.25">
      <c r="M7" s="63">
        <f t="shared" si="0"/>
        <v>1197</v>
      </c>
      <c r="N7" s="63">
        <v>1197</v>
      </c>
    </row>
    <row r="8" spans="2:14" x14ac:dyDescent="0.25">
      <c r="B8" s="63" t="s">
        <v>40</v>
      </c>
      <c r="M8" s="63">
        <f t="shared" si="0"/>
        <v>9250</v>
      </c>
      <c r="N8" s="63">
        <v>9250</v>
      </c>
    </row>
    <row r="9" spans="2:14" x14ac:dyDescent="0.25">
      <c r="M9" s="63">
        <f t="shared" si="0"/>
        <v>8770</v>
      </c>
      <c r="N9" s="63">
        <v>8770</v>
      </c>
    </row>
    <row r="10" spans="2:14" x14ac:dyDescent="0.25">
      <c r="B10" s="63" t="s">
        <v>1</v>
      </c>
      <c r="C10" s="66" t="s">
        <v>116</v>
      </c>
      <c r="M10" s="63">
        <f t="shared" si="0"/>
        <v>23190</v>
      </c>
      <c r="N10" s="63">
        <v>23190</v>
      </c>
    </row>
    <row r="11" spans="2:14" x14ac:dyDescent="0.25">
      <c r="B11" s="63" t="s">
        <v>113</v>
      </c>
      <c r="C11" s="63" t="s">
        <v>114</v>
      </c>
      <c r="M11" s="63">
        <f t="shared" si="0"/>
        <v>10910</v>
      </c>
      <c r="N11" s="63">
        <v>10910</v>
      </c>
    </row>
    <row r="12" spans="2:14" x14ac:dyDescent="0.25">
      <c r="B12" s="63" t="s">
        <v>2</v>
      </c>
      <c r="C12" s="76" t="s">
        <v>117</v>
      </c>
      <c r="M12" s="63">
        <f t="shared" si="0"/>
        <v>10910</v>
      </c>
      <c r="N12" s="63">
        <v>10910</v>
      </c>
    </row>
    <row r="13" spans="2:14" x14ac:dyDescent="0.25">
      <c r="M13" s="63">
        <f t="shared" si="0"/>
        <v>12190</v>
      </c>
      <c r="N13" s="63">
        <v>12190</v>
      </c>
    </row>
    <row r="14" spans="2:14" ht="14.25" customHeight="1" x14ac:dyDescent="0.25">
      <c r="M14" s="63">
        <f t="shared" si="0"/>
        <v>11070</v>
      </c>
      <c r="N14" s="63">
        <v>11070</v>
      </c>
    </row>
    <row r="15" spans="2:14" ht="13.5" customHeight="1" x14ac:dyDescent="0.25">
      <c r="B15" s="67" t="s">
        <v>19</v>
      </c>
      <c r="D15" s="68" t="s">
        <v>18</v>
      </c>
      <c r="M15" s="63">
        <f t="shared" si="0"/>
        <v>9090</v>
      </c>
      <c r="N15" s="63">
        <v>9090</v>
      </c>
    </row>
    <row r="16" spans="2:14" x14ac:dyDescent="0.25">
      <c r="B16" s="69">
        <f>meter!E3</f>
        <v>177</v>
      </c>
      <c r="C16" s="63">
        <f>meter!F3</f>
        <v>179</v>
      </c>
      <c r="D16" s="70">
        <f>C16-B16</f>
        <v>2</v>
      </c>
      <c r="M16" s="63">
        <f t="shared" si="0"/>
        <v>9420</v>
      </c>
      <c r="N16" s="63">
        <v>9420</v>
      </c>
    </row>
    <row r="17" spans="2:14" x14ac:dyDescent="0.25">
      <c r="D17" s="63" t="s">
        <v>45</v>
      </c>
      <c r="M17" s="63">
        <f t="shared" si="0"/>
        <v>11154</v>
      </c>
      <c r="N17" s="63">
        <v>11154</v>
      </c>
    </row>
    <row r="18" spans="2:14" x14ac:dyDescent="0.25">
      <c r="C18" s="63" t="s">
        <v>106</v>
      </c>
      <c r="D18" s="63">
        <f>meter!O3</f>
        <v>5</v>
      </c>
      <c r="M18" s="63">
        <f t="shared" si="0"/>
        <v>10430</v>
      </c>
      <c r="N18" s="63">
        <v>10430</v>
      </c>
    </row>
    <row r="19" spans="2:14" x14ac:dyDescent="0.25">
      <c r="B19" s="64"/>
      <c r="M19" s="63">
        <f t="shared" si="0"/>
        <v>11831</v>
      </c>
      <c r="N19" s="63">
        <v>11831</v>
      </c>
    </row>
    <row r="20" spans="2:14" x14ac:dyDescent="0.25">
      <c r="C20" s="63" t="s">
        <v>111</v>
      </c>
      <c r="D20" s="63">
        <f>meter!I3</f>
        <v>210</v>
      </c>
      <c r="M20" s="63">
        <f t="shared" si="0"/>
        <v>10590</v>
      </c>
      <c r="N20" s="63">
        <v>10590</v>
      </c>
    </row>
    <row r="21" spans="2:14" x14ac:dyDescent="0.25">
      <c r="M21" s="63">
        <f t="shared" si="0"/>
        <v>22423</v>
      </c>
      <c r="N21" s="63">
        <v>22423</v>
      </c>
    </row>
    <row r="22" spans="2:14" x14ac:dyDescent="0.25">
      <c r="C22" s="63" t="s">
        <v>110</v>
      </c>
      <c r="D22" s="63">
        <f>meter!J3</f>
        <v>70</v>
      </c>
      <c r="M22" s="63">
        <f t="shared" si="0"/>
        <v>9250</v>
      </c>
      <c r="N22" s="63">
        <v>9250</v>
      </c>
    </row>
    <row r="23" spans="2:14" x14ac:dyDescent="0.25">
      <c r="M23" s="63">
        <f t="shared" si="0"/>
        <v>10162</v>
      </c>
      <c r="N23" s="63">
        <v>10162</v>
      </c>
    </row>
    <row r="24" spans="2:14" x14ac:dyDescent="0.25">
      <c r="C24" s="63" t="s">
        <v>109</v>
      </c>
      <c r="D24" s="71">
        <f>meter!N3</f>
        <v>6000</v>
      </c>
      <c r="M24" s="63">
        <f t="shared" si="0"/>
        <v>10270</v>
      </c>
      <c r="N24" s="63">
        <v>10270</v>
      </c>
    </row>
    <row r="25" spans="2:14" x14ac:dyDescent="0.25">
      <c r="M25" s="63">
        <f t="shared" si="0"/>
        <v>11070</v>
      </c>
      <c r="N25" s="63">
        <v>11070</v>
      </c>
    </row>
    <row r="26" spans="2:14" x14ac:dyDescent="0.25">
      <c r="M26" s="63">
        <f t="shared" si="0"/>
        <v>11550</v>
      </c>
      <c r="N26" s="63">
        <v>11550</v>
      </c>
    </row>
    <row r="27" spans="2:14" x14ac:dyDescent="0.25">
      <c r="C27" s="63" t="s">
        <v>108</v>
      </c>
      <c r="D27" s="63">
        <v>30</v>
      </c>
      <c r="M27" s="63">
        <f t="shared" si="0"/>
        <v>11393</v>
      </c>
      <c r="N27" s="63">
        <v>11393</v>
      </c>
    </row>
    <row r="28" spans="2:14" x14ac:dyDescent="0.25">
      <c r="C28" s="63" t="s">
        <v>107</v>
      </c>
      <c r="D28" s="71">
        <f>IF(D18*2%*1&lt;0,0,D18*2%*1)</f>
        <v>0.1</v>
      </c>
      <c r="M28" s="63">
        <f t="shared" si="0"/>
        <v>10802</v>
      </c>
      <c r="N28" s="63">
        <v>10802</v>
      </c>
    </row>
    <row r="29" spans="2:14" x14ac:dyDescent="0.25">
      <c r="F29" s="72"/>
      <c r="K29" s="63" t="s">
        <v>36</v>
      </c>
      <c r="M29" s="63">
        <f t="shared" si="0"/>
        <v>8930</v>
      </c>
      <c r="N29" s="63">
        <v>8930</v>
      </c>
    </row>
    <row r="30" spans="2:14" x14ac:dyDescent="0.25">
      <c r="C30" s="63" t="s">
        <v>17</v>
      </c>
      <c r="D30" s="71">
        <f>D18+D20+D22+D24+D26+D27+D28</f>
        <v>6315.1</v>
      </c>
      <c r="F30" s="72"/>
      <c r="M30" s="63">
        <f t="shared" si="0"/>
        <v>9570</v>
      </c>
      <c r="N30" s="63">
        <v>9570</v>
      </c>
    </row>
    <row r="31" spans="2:14" x14ac:dyDescent="0.25">
      <c r="D31" s="71"/>
      <c r="M31" s="63">
        <f t="shared" si="0"/>
        <v>11390</v>
      </c>
      <c r="N31" s="63">
        <v>11390</v>
      </c>
    </row>
    <row r="32" spans="2:14" x14ac:dyDescent="0.25">
      <c r="D32" s="71">
        <f>meter!R3</f>
        <v>0</v>
      </c>
      <c r="M32" s="63">
        <f t="shared" si="0"/>
        <v>10750</v>
      </c>
      <c r="N32" s="63">
        <v>10750</v>
      </c>
    </row>
    <row r="33" spans="1:17" x14ac:dyDescent="0.25">
      <c r="D33" s="71"/>
      <c r="M33" s="63">
        <f t="shared" si="0"/>
        <v>11732</v>
      </c>
      <c r="N33" s="63">
        <v>11732</v>
      </c>
    </row>
    <row r="34" spans="1:17" x14ac:dyDescent="0.25">
      <c r="D34" s="72">
        <f>D30-D32</f>
        <v>6315.1</v>
      </c>
      <c r="M34" s="63">
        <f t="shared" si="0"/>
        <v>10934</v>
      </c>
      <c r="N34" s="63">
        <v>10934</v>
      </c>
      <c r="Q34" s="63">
        <v>700</v>
      </c>
    </row>
    <row r="35" spans="1:17" x14ac:dyDescent="0.25">
      <c r="B35" s="64" t="s">
        <v>12</v>
      </c>
      <c r="M35" s="63">
        <f t="shared" si="0"/>
        <v>10270</v>
      </c>
      <c r="N35" s="63">
        <v>10270</v>
      </c>
    </row>
    <row r="36" spans="1:17" x14ac:dyDescent="0.25">
      <c r="A36" s="63" t="s">
        <v>49</v>
      </c>
      <c r="B36" s="73" t="s">
        <v>39</v>
      </c>
      <c r="M36" s="63">
        <f t="shared" si="0"/>
        <v>10598</v>
      </c>
      <c r="N36" s="63">
        <v>10598</v>
      </c>
    </row>
    <row r="37" spans="1:17" ht="30" customHeight="1" x14ac:dyDescent="0.25">
      <c r="B37" s="74" t="s">
        <v>119</v>
      </c>
      <c r="M37" s="63">
        <f t="shared" si="0"/>
        <v>8770</v>
      </c>
      <c r="N37" s="63">
        <v>8770</v>
      </c>
    </row>
    <row r="38" spans="1:17" ht="32.25" customHeight="1" x14ac:dyDescent="0.25">
      <c r="B38" s="74" t="s">
        <v>118</v>
      </c>
      <c r="M38" s="63">
        <f t="shared" si="0"/>
        <v>8770</v>
      </c>
      <c r="N38" s="63">
        <v>8770</v>
      </c>
    </row>
    <row r="39" spans="1:17" x14ac:dyDescent="0.25">
      <c r="B39" s="74"/>
      <c r="N39" s="63">
        <f>SUM(N3:N38)</f>
        <v>391268</v>
      </c>
      <c r="P39" s="63">
        <f>SUM(P3:P38)</f>
        <v>0</v>
      </c>
    </row>
    <row r="40" spans="1:17" hidden="1" x14ac:dyDescent="0.25">
      <c r="B40" s="74"/>
    </row>
    <row r="41" spans="1:17" x14ac:dyDescent="0.25">
      <c r="B41" s="74"/>
    </row>
    <row r="42" spans="1:17" x14ac:dyDescent="0.25">
      <c r="B42" s="74" t="s">
        <v>105</v>
      </c>
    </row>
    <row r="43" spans="1:17" x14ac:dyDescent="0.25">
      <c r="B43" s="64"/>
    </row>
    <row r="44" spans="1:17" x14ac:dyDescent="0.25">
      <c r="B44" s="64"/>
    </row>
    <row r="45" spans="1:17" x14ac:dyDescent="0.25">
      <c r="A45" s="75"/>
      <c r="B45" s="64"/>
      <c r="F45" s="75"/>
      <c r="G45" s="75"/>
      <c r="H45" s="75"/>
    </row>
    <row r="46" spans="1:17" x14ac:dyDescent="0.25">
      <c r="B46" s="64"/>
    </row>
    <row r="47" spans="1:17" x14ac:dyDescent="0.25">
      <c r="B47" s="64"/>
    </row>
    <row r="48" spans="1:17" x14ac:dyDescent="0.25">
      <c r="B48" s="75"/>
      <c r="C48" s="75"/>
      <c r="D48" s="75"/>
      <c r="E48" s="75"/>
    </row>
    <row r="49" spans="1:14" x14ac:dyDescent="0.25">
      <c r="A49" s="74"/>
      <c r="B49" s="75"/>
      <c r="N49" s="63" t="s">
        <v>76</v>
      </c>
    </row>
    <row r="50" spans="1:14" x14ac:dyDescent="0.25">
      <c r="A50" s="74"/>
      <c r="B50" s="64"/>
      <c r="F50" s="74"/>
      <c r="G50" s="74"/>
    </row>
    <row r="51" spans="1:14" x14ac:dyDescent="0.25">
      <c r="A51" s="74"/>
      <c r="B51" s="77"/>
      <c r="C51" s="78"/>
      <c r="D51" s="78"/>
      <c r="E51" s="78"/>
      <c r="F51" s="78"/>
      <c r="G51" s="78"/>
      <c r="H51" s="78"/>
      <c r="I51" s="78"/>
      <c r="J51" s="79"/>
    </row>
    <row r="52" spans="1:14" x14ac:dyDescent="0.25">
      <c r="A52" s="74"/>
      <c r="B52" s="74"/>
    </row>
    <row r="53" spans="1:14" x14ac:dyDescent="0.25">
      <c r="B53" s="74"/>
    </row>
  </sheetData>
  <mergeCells count="1">
    <mergeCell ref="B51:J51"/>
  </mergeCells>
  <pageMargins left="7.4999999999999997E-2" right="0.7" top="0.75" bottom="0.75" header="0.3" footer="0.3"/>
  <pageSetup paperSize="9" scale="72" orientation="portrait" r:id="rId1"/>
  <headerFooter>
    <oddHeader>&amp;COLESAMEDHA EMBASSY</oddHeader>
    <oddFooter>&amp;COLESAMEDHA EMBASSY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V53"/>
  <sheetViews>
    <sheetView view="pageBreakPreview" topLeftCell="A14" zoomScale="60" zoomScaleNormal="60" workbookViewId="0">
      <selection activeCell="D43" sqref="D43"/>
    </sheetView>
  </sheetViews>
  <sheetFormatPr defaultColWidth="9" defaultRowHeight="14.5" x14ac:dyDescent="0.35"/>
  <cols>
    <col min="1" max="1" width="0.1796875" style="1" customWidth="1"/>
    <col min="2" max="2" width="13.81640625" style="1" customWidth="1"/>
    <col min="3" max="3" width="9.1796875" style="1" customWidth="1"/>
    <col min="4" max="4" width="29.54296875" style="1" customWidth="1"/>
    <col min="5" max="5" width="9" style="1" customWidth="1"/>
    <col min="6" max="6" width="19.26953125" style="1" customWidth="1"/>
    <col min="7" max="7" width="35.1796875" style="1" customWidth="1"/>
    <col min="8" max="8" width="11.4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>
        <f>GFA!G4+2-1</f>
        <v>20242002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meter!A4</f>
        <v>VACCANT</v>
      </c>
      <c r="N6" s="1">
        <f t="shared" si="0"/>
        <v>11070</v>
      </c>
      <c r="O6" s="1">
        <v>11070</v>
      </c>
    </row>
    <row r="7" spans="2:15" x14ac:dyDescent="0.35">
      <c r="D7" s="1" t="s">
        <v>94</v>
      </c>
      <c r="N7" s="1">
        <f t="shared" si="0"/>
        <v>1197</v>
      </c>
      <c r="O7" s="1">
        <v>1197</v>
      </c>
    </row>
    <row r="8" spans="2:15" x14ac:dyDescent="0.35">
      <c r="B8" s="1" t="s">
        <v>40</v>
      </c>
      <c r="D8" s="1" t="s">
        <v>93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6" t="s">
        <v>19</v>
      </c>
      <c r="D15" s="6" t="s">
        <v>4</v>
      </c>
      <c r="F15" s="6" t="s">
        <v>18</v>
      </c>
      <c r="N15" s="1">
        <f t="shared" si="0"/>
        <v>9090</v>
      </c>
      <c r="O15" s="1">
        <v>9090</v>
      </c>
    </row>
    <row r="16" spans="2:15" x14ac:dyDescent="0.35">
      <c r="B16" s="7">
        <f>meter!E4</f>
        <v>110</v>
      </c>
      <c r="C16" s="7"/>
      <c r="D16" s="7">
        <f>meter!F4</f>
        <v>110</v>
      </c>
      <c r="E16" s="7" t="s">
        <v>14</v>
      </c>
      <c r="F16" s="8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46</v>
      </c>
      <c r="H17" s="10"/>
      <c r="N17" s="1">
        <f t="shared" si="0"/>
        <v>11154</v>
      </c>
      <c r="O17" s="1">
        <v>11154</v>
      </c>
    </row>
    <row r="18" spans="2:15" x14ac:dyDescent="0.35">
      <c r="D18" s="1" t="s">
        <v>23</v>
      </c>
      <c r="E18" s="1" t="s">
        <v>17</v>
      </c>
      <c r="F18" s="10">
        <f>meter!O4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17</v>
      </c>
      <c r="F20" s="1">
        <f>meter!I4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57</v>
      </c>
      <c r="E22" s="1" t="s">
        <v>17</v>
      </c>
      <c r="F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20</v>
      </c>
      <c r="E24" s="1" t="s">
        <v>17</v>
      </c>
      <c r="F24" s="10">
        <f>meter!N4</f>
        <v>5000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E26" s="1" t="s">
        <v>17</v>
      </c>
      <c r="F26" s="10">
        <f>GFA!D26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73</v>
      </c>
      <c r="F27" s="1">
        <v>30</v>
      </c>
      <c r="G27" s="4"/>
      <c r="H27" s="10"/>
      <c r="N27" s="1">
        <f t="shared" si="0"/>
        <v>11393</v>
      </c>
      <c r="O27" s="1">
        <v>11393</v>
      </c>
    </row>
    <row r="28" spans="2:15" x14ac:dyDescent="0.35">
      <c r="D28" s="1" t="s">
        <v>35</v>
      </c>
      <c r="E28" s="1" t="s">
        <v>17</v>
      </c>
      <c r="F28" s="10">
        <f>IF(F18*2%*1&lt;0,0,F18*2%*1)</f>
        <v>0</v>
      </c>
      <c r="G28" s="15"/>
      <c r="H28" s="10"/>
      <c r="N28" s="1">
        <f t="shared" si="0"/>
        <v>10802</v>
      </c>
      <c r="O28" s="1">
        <v>10802</v>
      </c>
    </row>
    <row r="29" spans="2:15" x14ac:dyDescent="0.35">
      <c r="F29" s="1">
        <v>0</v>
      </c>
      <c r="H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17</v>
      </c>
      <c r="F30" s="10">
        <f>SUM(F17:F29)</f>
        <v>5100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1" t="s">
        <v>26</v>
      </c>
      <c r="F32" s="10">
        <f>meter!R4</f>
        <v>0</v>
      </c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</row>
    <row r="34" spans="1:256" x14ac:dyDescent="0.35">
      <c r="D34" s="1" t="s">
        <v>61</v>
      </c>
      <c r="F34" s="12">
        <f>F30-F32</f>
        <v>5100</v>
      </c>
      <c r="N34" s="1">
        <f t="shared" si="0"/>
        <v>10934</v>
      </c>
      <c r="O34" s="1">
        <v>10934</v>
      </c>
      <c r="R34" s="1">
        <v>700</v>
      </c>
    </row>
    <row r="35" spans="1:256" ht="15.5" x14ac:dyDescent="0.35">
      <c r="C35" s="9" t="s">
        <v>12</v>
      </c>
      <c r="N35" s="1">
        <f t="shared" si="0"/>
        <v>10270</v>
      </c>
      <c r="O35" s="1">
        <v>10270</v>
      </c>
    </row>
    <row r="36" spans="1:256" ht="18.5" x14ac:dyDescent="0.45">
      <c r="B36" s="1" t="s">
        <v>49</v>
      </c>
      <c r="C36" s="37" t="s">
        <v>39</v>
      </c>
      <c r="N36" s="1">
        <f t="shared" si="0"/>
        <v>10598</v>
      </c>
      <c r="O36" s="1">
        <v>10598</v>
      </c>
    </row>
    <row r="37" spans="1:256" x14ac:dyDescent="0.35">
      <c r="C37" s="13"/>
      <c r="N37" s="1">
        <f t="shared" si="0"/>
        <v>8770</v>
      </c>
      <c r="O37" s="1">
        <v>8770</v>
      </c>
    </row>
    <row r="38" spans="1:256" x14ac:dyDescent="0.35">
      <c r="C38" s="13"/>
      <c r="N38" s="1">
        <f t="shared" si="0"/>
        <v>8770</v>
      </c>
      <c r="O38" s="1">
        <v>8770</v>
      </c>
    </row>
    <row r="39" spans="1:256" x14ac:dyDescent="0.35">
      <c r="C39" s="13"/>
      <c r="O39" s="1">
        <f>SUM(O3:O38)</f>
        <v>391268</v>
      </c>
      <c r="Q39" s="1">
        <f>SUM(Q3:Q38)</f>
        <v>0</v>
      </c>
    </row>
    <row r="40" spans="1:256" hidden="1" x14ac:dyDescent="0.35">
      <c r="C40" s="13"/>
    </row>
    <row r="41" spans="1:256" s="54" customFormat="1" x14ac:dyDescent="0.35">
      <c r="A41" s="4"/>
      <c r="B41" s="4" t="s">
        <v>105</v>
      </c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 ht="37.5" customHeight="1" x14ac:dyDescent="0.7">
      <c r="A42" s="14"/>
      <c r="C42" s="13"/>
      <c r="D42" s="55" t="s">
        <v>119</v>
      </c>
    </row>
    <row r="43" spans="1:256" ht="43.5" customHeight="1" x14ac:dyDescent="0.7">
      <c r="C43" s="4"/>
      <c r="D43" s="55" t="s">
        <v>120</v>
      </c>
    </row>
    <row r="44" spans="1:256" x14ac:dyDescent="0.35">
      <c r="C44" s="4"/>
    </row>
    <row r="45" spans="1:256" x14ac:dyDescent="0.35">
      <c r="B45" s="14"/>
      <c r="C45" s="4"/>
      <c r="H45" s="14"/>
      <c r="I45" s="14"/>
    </row>
    <row r="46" spans="1:256" x14ac:dyDescent="0.35">
      <c r="C46" s="4"/>
    </row>
    <row r="47" spans="1:256" s="54" customFormat="1" ht="32" x14ac:dyDescent="0.7">
      <c r="A47" s="4"/>
      <c r="B47" s="4"/>
      <c r="C47" s="38"/>
      <c r="D47" s="38"/>
      <c r="E47" s="38"/>
      <c r="F47" s="3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 x14ac:dyDescent="0.35">
      <c r="C48" s="14"/>
      <c r="D48" s="14"/>
      <c r="E48" s="14"/>
      <c r="F48" s="14"/>
      <c r="G48" s="14"/>
    </row>
    <row r="49" spans="1:15" x14ac:dyDescent="0.35">
      <c r="A49" s="13"/>
      <c r="B49" s="13"/>
      <c r="C49" s="14"/>
      <c r="O49" s="1" t="s">
        <v>76</v>
      </c>
    </row>
    <row r="50" spans="1:15" ht="32" x14ac:dyDescent="0.7">
      <c r="A50" s="13"/>
      <c r="B50" s="13"/>
      <c r="C50" s="38"/>
      <c r="H50" s="13"/>
      <c r="I50" s="13"/>
    </row>
    <row r="51" spans="1:15" ht="32" x14ac:dyDescent="0.7">
      <c r="B51" s="13"/>
      <c r="C51" s="80"/>
      <c r="D51" s="81"/>
      <c r="E51" s="81"/>
      <c r="F51" s="81"/>
      <c r="G51" s="81"/>
      <c r="H51" s="81"/>
      <c r="I51" s="81"/>
      <c r="J51" s="81"/>
      <c r="K51" s="81"/>
      <c r="L51" s="82"/>
    </row>
    <row r="52" spans="1:15" x14ac:dyDescent="0.35">
      <c r="B52" s="13"/>
      <c r="C52" s="13"/>
      <c r="D52" s="4"/>
    </row>
    <row r="53" spans="1:15" x14ac:dyDescent="0.35">
      <c r="C53" s="13"/>
      <c r="D53" s="13"/>
    </row>
  </sheetData>
  <mergeCells count="1">
    <mergeCell ref="C51:L51"/>
  </mergeCells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V53"/>
  <sheetViews>
    <sheetView view="pageBreakPreview" topLeftCell="A13" zoomScale="60" zoomScaleNormal="60" workbookViewId="0">
      <selection activeCell="B39" sqref="B39"/>
    </sheetView>
  </sheetViews>
  <sheetFormatPr defaultColWidth="9" defaultRowHeight="14.5" x14ac:dyDescent="0.35"/>
  <cols>
    <col min="1" max="1" width="9.1796875" style="1" customWidth="1"/>
    <col min="2" max="2" width="30.7265625" style="1" customWidth="1"/>
    <col min="3" max="3" width="30.81640625" style="1" customWidth="1"/>
    <col min="4" max="4" width="9.1796875" style="1" customWidth="1"/>
    <col min="5" max="5" width="20.7265625" style="1" customWidth="1"/>
    <col min="6" max="6" width="5.1796875" style="1" customWidth="1"/>
    <col min="7" max="7" width="9.1796875" style="1" customWidth="1"/>
    <col min="8" max="8" width="11.1796875" style="1" bestFit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GFA!G4+3-1</f>
        <v>20242003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meter!A5</f>
        <v>CHARLES MOMANYI</v>
      </c>
      <c r="N6" s="1">
        <f t="shared" si="0"/>
        <v>11070</v>
      </c>
      <c r="O6" s="1">
        <v>11070</v>
      </c>
    </row>
    <row r="7" spans="2:15" x14ac:dyDescent="0.35">
      <c r="C7" s="1" t="s">
        <v>95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16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19</v>
      </c>
      <c r="C15" s="6" t="s">
        <v>4</v>
      </c>
      <c r="E15" s="6" t="s">
        <v>18</v>
      </c>
      <c r="N15" s="1">
        <f t="shared" si="0"/>
        <v>9090</v>
      </c>
      <c r="O15" s="1">
        <v>9090</v>
      </c>
    </row>
    <row r="16" spans="2:15" x14ac:dyDescent="0.35">
      <c r="B16" s="7">
        <f>meter!E5</f>
        <v>144</v>
      </c>
      <c r="C16" s="7">
        <f>meter!F5</f>
        <v>147</v>
      </c>
      <c r="D16" s="7" t="s">
        <v>14</v>
      </c>
      <c r="E16" s="8">
        <f>C16-B16</f>
        <v>3</v>
      </c>
      <c r="N16" s="1">
        <f t="shared" si="0"/>
        <v>9420</v>
      </c>
      <c r="O16" s="1">
        <v>9420</v>
      </c>
    </row>
    <row r="17" spans="2:15" x14ac:dyDescent="0.35">
      <c r="E17" s="1" t="s">
        <v>46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17</v>
      </c>
      <c r="E18" s="1">
        <f>meter!O5</f>
        <v>2925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meter!I5</f>
        <v>315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17</v>
      </c>
      <c r="E22" s="1">
        <f>meter!J5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17</v>
      </c>
      <c r="E24" s="10">
        <f>meter!N5</f>
        <v>6000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D26" s="1" t="s">
        <v>17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17</v>
      </c>
      <c r="E27" s="1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10</v>
      </c>
      <c r="D28" s="1" t="s">
        <v>17</v>
      </c>
      <c r="E28" s="10">
        <f>IF(E18*2%*1&lt;0,0,E18*2%*1)</f>
        <v>58.5</v>
      </c>
      <c r="N28" s="1">
        <f t="shared" si="0"/>
        <v>10802</v>
      </c>
      <c r="O28" s="1">
        <v>10802</v>
      </c>
    </row>
    <row r="29" spans="2:15" x14ac:dyDescent="0.35"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9398.5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meter!R5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9398.5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x14ac:dyDescent="0.35">
      <c r="A37" s="1" t="s">
        <v>50</v>
      </c>
      <c r="B37" s="13"/>
      <c r="C37" s="13"/>
      <c r="D37" s="13"/>
      <c r="N37" s="1">
        <f t="shared" si="0"/>
        <v>8770</v>
      </c>
      <c r="O37" s="1">
        <v>8770</v>
      </c>
    </row>
    <row r="38" spans="1:18" ht="35.25" customHeight="1" x14ac:dyDescent="0.7">
      <c r="B38" s="56" t="s">
        <v>119</v>
      </c>
      <c r="N38" s="1">
        <f t="shared" si="0"/>
        <v>8770</v>
      </c>
      <c r="O38" s="1">
        <v>8770</v>
      </c>
    </row>
    <row r="39" spans="1:18" ht="31.5" customHeight="1" x14ac:dyDescent="0.7">
      <c r="A39" s="1" t="s">
        <v>51</v>
      </c>
      <c r="B39" s="56" t="s">
        <v>121</v>
      </c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A41" s="1" t="s">
        <v>52</v>
      </c>
      <c r="B41" s="13"/>
    </row>
    <row r="42" spans="1:18" x14ac:dyDescent="0.35">
      <c r="A42" s="1" t="s">
        <v>53</v>
      </c>
      <c r="B42" s="13" t="s">
        <v>105</v>
      </c>
      <c r="I42" s="14"/>
    </row>
    <row r="43" spans="1:18" x14ac:dyDescent="0.35">
      <c r="A43" s="1" t="s">
        <v>54</v>
      </c>
      <c r="B43" s="4"/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53"/>
  <sheetViews>
    <sheetView view="pageBreakPreview" topLeftCell="A12" zoomScale="60" zoomScaleNormal="60" workbookViewId="0">
      <selection activeCell="B39" sqref="B39"/>
    </sheetView>
  </sheetViews>
  <sheetFormatPr defaultColWidth="9" defaultRowHeight="14.5" x14ac:dyDescent="0.35"/>
  <cols>
    <col min="1" max="1" width="4.54296875" style="1" customWidth="1"/>
    <col min="2" max="2" width="18" style="1" customWidth="1"/>
    <col min="3" max="3" width="31.1796875" style="1" customWidth="1"/>
    <col min="4" max="4" width="9.1796875" style="1" customWidth="1"/>
    <col min="5" max="5" width="20.7265625" style="1" customWidth="1"/>
    <col min="6" max="7" width="9.1796875" style="1" customWidth="1"/>
    <col min="8" max="8" width="11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GFA!G4+4-1</f>
        <v>20242004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meter!A6</f>
        <v>GLADYS</v>
      </c>
      <c r="N6" s="1">
        <f t="shared" si="0"/>
        <v>11070</v>
      </c>
      <c r="O6" s="1">
        <v>11070</v>
      </c>
    </row>
    <row r="7" spans="2:15" x14ac:dyDescent="0.35">
      <c r="C7" s="1" t="s">
        <v>96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22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meter!E6</f>
        <v>213</v>
      </c>
      <c r="C16" s="7">
        <f>meter!F6</f>
        <v>213</v>
      </c>
      <c r="D16" s="7" t="s">
        <v>14</v>
      </c>
      <c r="E16" s="8">
        <f>C16-B16</f>
        <v>0</v>
      </c>
      <c r="F16" s="7"/>
      <c r="N16" s="1">
        <f t="shared" si="0"/>
        <v>9420</v>
      </c>
      <c r="O16" s="1">
        <v>9420</v>
      </c>
    </row>
    <row r="17" spans="2:15" x14ac:dyDescent="0.35">
      <c r="E17" s="1" t="s">
        <v>47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17</v>
      </c>
      <c r="E18" s="1">
        <f>meter!O6</f>
        <v>6310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meter!I6</f>
        <v>0</v>
      </c>
      <c r="N20" s="1">
        <f t="shared" si="0"/>
        <v>10590</v>
      </c>
      <c r="O20" s="1">
        <v>10590</v>
      </c>
    </row>
    <row r="21" spans="2:15" x14ac:dyDescent="0.35">
      <c r="H21" s="1" t="s">
        <v>36</v>
      </c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17</v>
      </c>
      <c r="E22" s="1">
        <f>meter!J6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17</v>
      </c>
      <c r="E24" s="10">
        <f>meter!N6</f>
        <v>6000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D26" s="1" t="s">
        <v>17</v>
      </c>
      <c r="G26" s="12"/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17</v>
      </c>
      <c r="E27" s="1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35</v>
      </c>
      <c r="D28" s="1" t="s">
        <v>17</v>
      </c>
      <c r="E28" s="10">
        <f>IF(E18*2%*1&lt;0,0,E18*2%*1)</f>
        <v>126.2</v>
      </c>
      <c r="N28" s="1">
        <f t="shared" si="0"/>
        <v>10802</v>
      </c>
      <c r="O28" s="1">
        <v>10802</v>
      </c>
    </row>
    <row r="29" spans="2:15" x14ac:dyDescent="0.35"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12536.2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meter!R6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12536.2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ht="61.5" customHeight="1" x14ac:dyDescent="0.7">
      <c r="B38" s="56" t="s">
        <v>119</v>
      </c>
      <c r="N38" s="1">
        <f t="shared" si="0"/>
        <v>8770</v>
      </c>
      <c r="O38" s="1">
        <v>8770</v>
      </c>
    </row>
    <row r="39" spans="1:18" ht="32.25" customHeight="1" x14ac:dyDescent="0.7">
      <c r="B39" s="56" t="s">
        <v>122</v>
      </c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4"/>
    </row>
    <row r="43" spans="1:18" ht="17.25" customHeight="1" x14ac:dyDescent="0.45">
      <c r="B43" s="3" t="s">
        <v>105</v>
      </c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V53"/>
  <sheetViews>
    <sheetView view="pageBreakPreview" topLeftCell="A19" zoomScale="60" zoomScaleNormal="60" workbookViewId="0">
      <selection activeCell="B38" sqref="B38"/>
    </sheetView>
  </sheetViews>
  <sheetFormatPr defaultColWidth="9" defaultRowHeight="14.5" x14ac:dyDescent="0.35"/>
  <cols>
    <col min="1" max="1" width="4.7265625" style="1" customWidth="1"/>
    <col min="2" max="2" width="23.26953125" style="1" customWidth="1"/>
    <col min="3" max="3" width="31.7265625" style="1" customWidth="1"/>
    <col min="4" max="4" width="9.1796875" style="1" customWidth="1"/>
    <col min="5" max="5" width="25.26953125" style="1" customWidth="1"/>
    <col min="6" max="7" width="9.1796875" style="1" customWidth="1"/>
    <col min="8" max="8" width="14.1796875" style="1" customWidth="1"/>
    <col min="9" max="9" width="5.269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GFA!G4+5-1</f>
        <v>20242005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meter!A7</f>
        <v>VINCENT</v>
      </c>
      <c r="N6" s="1">
        <f t="shared" si="0"/>
        <v>11070</v>
      </c>
      <c r="O6" s="1">
        <v>11070</v>
      </c>
    </row>
    <row r="7" spans="2:15" x14ac:dyDescent="0.35">
      <c r="C7" s="1" t="s">
        <v>97</v>
      </c>
      <c r="N7" s="1">
        <f t="shared" si="0"/>
        <v>1197</v>
      </c>
      <c r="O7" s="1">
        <v>1197</v>
      </c>
    </row>
    <row r="8" spans="2:15" x14ac:dyDescent="0.35">
      <c r="B8" s="1" t="s">
        <v>42</v>
      </c>
      <c r="C8" s="1" t="s">
        <v>21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19</v>
      </c>
      <c r="C15" s="6" t="s">
        <v>4</v>
      </c>
      <c r="E15" s="6" t="s">
        <v>18</v>
      </c>
      <c r="N15" s="1">
        <f t="shared" si="0"/>
        <v>9090</v>
      </c>
      <c r="O15" s="1">
        <v>9090</v>
      </c>
    </row>
    <row r="16" spans="2:15" x14ac:dyDescent="0.35">
      <c r="B16" s="7">
        <f>meter!E7</f>
        <v>159</v>
      </c>
      <c r="C16" s="7">
        <f>meter!F7</f>
        <v>160</v>
      </c>
      <c r="D16" s="7" t="s">
        <v>14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48</v>
      </c>
      <c r="N17" s="1">
        <f t="shared" si="0"/>
        <v>11154</v>
      </c>
      <c r="O17" s="1">
        <v>11154</v>
      </c>
    </row>
    <row r="18" spans="2:15" x14ac:dyDescent="0.35">
      <c r="C18" s="1" t="s">
        <v>23</v>
      </c>
      <c r="D18" s="1" t="s">
        <v>17</v>
      </c>
      <c r="E18" s="1">
        <f>meter!O7</f>
        <v>20665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meter!I7</f>
        <v>105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17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17</v>
      </c>
      <c r="E24" s="10">
        <f>meter!N7</f>
        <v>6000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>
        <f>GFA!C26</f>
        <v>0</v>
      </c>
      <c r="E26" s="1">
        <f>meter!M7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17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35</v>
      </c>
      <c r="D28" s="1" t="s">
        <v>17</v>
      </c>
      <c r="E28" s="10">
        <f>IF(E18*2%*1&lt;0,0,E18*2%*1)</f>
        <v>413.3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27283.3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meter!R7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27283.3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ht="40.5" customHeight="1" x14ac:dyDescent="0.7">
      <c r="B37" s="56" t="s">
        <v>119</v>
      </c>
      <c r="N37" s="1">
        <f t="shared" si="0"/>
        <v>8770</v>
      </c>
      <c r="O37" s="1">
        <v>8770</v>
      </c>
    </row>
    <row r="38" spans="1:18" ht="37.5" customHeight="1" x14ac:dyDescent="0.7">
      <c r="B38" s="56" t="s">
        <v>123</v>
      </c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ht="18.5" x14ac:dyDescent="0.45">
      <c r="B42" s="35" t="s">
        <v>105</v>
      </c>
      <c r="I42" s="16"/>
    </row>
    <row r="43" spans="1:18" x14ac:dyDescent="0.35">
      <c r="B43" s="4"/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V53"/>
  <sheetViews>
    <sheetView view="pageBreakPreview" topLeftCell="A19" zoomScale="60" zoomScaleNormal="60" workbookViewId="0">
      <selection activeCell="B38" sqref="B38"/>
    </sheetView>
  </sheetViews>
  <sheetFormatPr defaultColWidth="9" defaultRowHeight="14.5" x14ac:dyDescent="0.35"/>
  <cols>
    <col min="1" max="1" width="4.81640625" style="1" customWidth="1"/>
    <col min="2" max="2" width="21.26953125" style="1" customWidth="1"/>
    <col min="3" max="3" width="30" style="1" customWidth="1"/>
    <col min="4" max="4" width="9.1796875" style="1" customWidth="1"/>
    <col min="5" max="5" width="16.7265625" style="1" customWidth="1"/>
    <col min="6" max="6" width="13.81640625" style="1" customWidth="1"/>
    <col min="7" max="7" width="0.54296875" style="1" customWidth="1"/>
    <col min="8" max="8" width="11.54296875" style="1" customWidth="1"/>
    <col min="9" max="9" width="11.81640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 t="s">
        <v>6</v>
      </c>
      <c r="H4" s="1">
        <f>GFA!G4+6-1</f>
        <v>20242006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17" t="str">
        <f>meter!A8</f>
        <v>VERONICAH</v>
      </c>
      <c r="N6" s="1">
        <f t="shared" si="0"/>
        <v>11070</v>
      </c>
      <c r="O6" s="1">
        <v>11070</v>
      </c>
    </row>
    <row r="7" spans="2:15" x14ac:dyDescent="0.35">
      <c r="C7" s="18" t="s">
        <v>98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79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ht="2.25" customHeight="1" x14ac:dyDescent="0.35">
      <c r="N14" s="1">
        <f t="shared" si="0"/>
        <v>11070</v>
      </c>
      <c r="O14" s="1">
        <v>11070</v>
      </c>
    </row>
    <row r="15" spans="2:15" ht="37.5" customHeight="1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meter!E8</f>
        <v>195</v>
      </c>
      <c r="C16" s="7">
        <f>meter!F8</f>
        <v>196</v>
      </c>
      <c r="D16" s="7" t="s">
        <v>14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48</v>
      </c>
      <c r="I17" s="10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0">
        <f>meter!O8</f>
        <v>110</v>
      </c>
      <c r="I18" s="10"/>
      <c r="N18" s="1">
        <f t="shared" si="0"/>
        <v>10430</v>
      </c>
      <c r="O18" s="1">
        <v>10430</v>
      </c>
    </row>
    <row r="19" spans="2:15" ht="15.5" x14ac:dyDescent="0.35">
      <c r="B19" s="9"/>
      <c r="I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">
        <f>meter!I8</f>
        <v>105</v>
      </c>
      <c r="I20" s="10"/>
      <c r="N20" s="1">
        <f t="shared" si="0"/>
        <v>10590</v>
      </c>
      <c r="O20" s="1">
        <v>10590</v>
      </c>
    </row>
    <row r="21" spans="2:15" x14ac:dyDescent="0.35">
      <c r="I21" s="10"/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I22" s="10"/>
      <c r="N22" s="1">
        <f t="shared" si="0"/>
        <v>9250</v>
      </c>
      <c r="O22" s="1">
        <v>9250</v>
      </c>
    </row>
    <row r="23" spans="2:15" x14ac:dyDescent="0.35">
      <c r="I23" s="10"/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meter!N8</f>
        <v>6000</v>
      </c>
      <c r="I24" s="10"/>
      <c r="N24" s="1">
        <f t="shared" si="0"/>
        <v>10270</v>
      </c>
      <c r="O24" s="1">
        <v>10270</v>
      </c>
    </row>
    <row r="25" spans="2:15" x14ac:dyDescent="0.35">
      <c r="E25" s="10"/>
      <c r="I25" s="10"/>
      <c r="N25" s="1">
        <f t="shared" si="0"/>
        <v>11070</v>
      </c>
      <c r="O25" s="1">
        <v>11070</v>
      </c>
    </row>
    <row r="26" spans="2:15" x14ac:dyDescent="0.35">
      <c r="D26" s="1">
        <f>GFA!C26</f>
        <v>0</v>
      </c>
      <c r="E26" s="1">
        <f>meter!M8</f>
        <v>0</v>
      </c>
      <c r="I26" s="10"/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E27" s="10">
        <v>30</v>
      </c>
      <c r="I27" s="10"/>
      <c r="N27" s="1">
        <f t="shared" si="0"/>
        <v>11393</v>
      </c>
      <c r="O27" s="1">
        <v>11393</v>
      </c>
    </row>
    <row r="28" spans="2:15" x14ac:dyDescent="0.35">
      <c r="C28" s="1" t="s">
        <v>55</v>
      </c>
      <c r="D28" s="1" t="s">
        <v>13</v>
      </c>
      <c r="E28" s="10">
        <f>IF(E18*2%*1&lt;0,0,E18*2%*1)</f>
        <v>2.2000000000000002</v>
      </c>
      <c r="I28" s="10"/>
      <c r="N28" s="1">
        <f t="shared" si="0"/>
        <v>10802</v>
      </c>
      <c r="O28" s="1">
        <v>10802</v>
      </c>
    </row>
    <row r="29" spans="2:15" x14ac:dyDescent="0.35">
      <c r="E29" s="10"/>
      <c r="I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6317.2</v>
      </c>
      <c r="G30" s="12"/>
      <c r="I30" s="10"/>
      <c r="J30" s="19"/>
      <c r="N30" s="1">
        <f t="shared" si="0"/>
        <v>9570</v>
      </c>
      <c r="O30" s="1">
        <v>9570</v>
      </c>
    </row>
    <row r="31" spans="2:15" x14ac:dyDescent="0.35">
      <c r="E31" s="10"/>
      <c r="I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meter!R8</f>
        <v>0</v>
      </c>
      <c r="I32" s="10"/>
      <c r="N32" s="1">
        <f t="shared" si="0"/>
        <v>10750</v>
      </c>
      <c r="O32" s="1">
        <v>10750</v>
      </c>
    </row>
    <row r="33" spans="1:18" x14ac:dyDescent="0.35">
      <c r="E33" s="10"/>
      <c r="I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6317.2</v>
      </c>
      <c r="I34" s="10"/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C35" s="4" t="s">
        <v>63</v>
      </c>
      <c r="I35" s="10"/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I36" s="10"/>
      <c r="N36" s="1">
        <f t="shared" si="0"/>
        <v>10598</v>
      </c>
      <c r="O36" s="1">
        <v>10598</v>
      </c>
    </row>
    <row r="37" spans="1:18" ht="35.25" customHeight="1" x14ac:dyDescent="0.7">
      <c r="B37" s="56" t="s">
        <v>119</v>
      </c>
      <c r="N37" s="1">
        <f t="shared" si="0"/>
        <v>8770</v>
      </c>
      <c r="O37" s="1">
        <v>8770</v>
      </c>
    </row>
    <row r="38" spans="1:18" ht="43.5" customHeight="1" x14ac:dyDescent="0.7">
      <c r="B38" s="56" t="s">
        <v>124</v>
      </c>
      <c r="I38" s="12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I40" s="12"/>
    </row>
    <row r="41" spans="1:18" x14ac:dyDescent="0.35">
      <c r="B41" s="13"/>
      <c r="I41" s="10"/>
    </row>
    <row r="42" spans="1:18" ht="18.5" x14ac:dyDescent="0.45">
      <c r="B42" s="35" t="s">
        <v>105</v>
      </c>
      <c r="I42" s="10"/>
    </row>
    <row r="43" spans="1:18" x14ac:dyDescent="0.35">
      <c r="B43" s="4"/>
      <c r="I43" s="10"/>
    </row>
    <row r="44" spans="1:18" x14ac:dyDescent="0.35">
      <c r="B44" s="4"/>
      <c r="I44" s="10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V53"/>
  <sheetViews>
    <sheetView view="pageBreakPreview" topLeftCell="A7" zoomScale="60" zoomScaleNormal="60" workbookViewId="0">
      <selection activeCell="B38" sqref="B38"/>
    </sheetView>
  </sheetViews>
  <sheetFormatPr defaultColWidth="9" defaultRowHeight="14.5" x14ac:dyDescent="0.35"/>
  <cols>
    <col min="1" max="1" width="9.1796875" style="1" customWidth="1"/>
    <col min="2" max="2" width="21.54296875" style="1" customWidth="1"/>
    <col min="3" max="3" width="40" style="1" customWidth="1"/>
    <col min="4" max="4" width="13.81640625" style="1" customWidth="1"/>
    <col min="5" max="5" width="17.7265625" style="1" customWidth="1"/>
    <col min="6" max="6" width="9.54296875" style="1" hidden="1" customWidth="1"/>
    <col min="7" max="7" width="9.1796875" style="1" customWidth="1"/>
    <col min="8" max="8" width="13.1796875" style="1" customWidth="1"/>
    <col min="9" max="9" width="17.5429687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GFA!G4+7-1</f>
        <v>20242007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meter!A9</f>
        <v>DUKE</v>
      </c>
      <c r="N6" s="1">
        <f t="shared" si="0"/>
        <v>11070</v>
      </c>
      <c r="O6" s="1">
        <v>11070</v>
      </c>
    </row>
    <row r="7" spans="2:15" x14ac:dyDescent="0.35">
      <c r="C7" s="1" t="s">
        <v>99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80</v>
      </c>
      <c r="N8" s="1">
        <f t="shared" si="0"/>
        <v>9250</v>
      </c>
      <c r="O8" s="1">
        <v>9250</v>
      </c>
    </row>
    <row r="9" spans="2:15" x14ac:dyDescent="0.35">
      <c r="C9" s="18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meter!E9</f>
        <v>129</v>
      </c>
      <c r="C16" s="7">
        <f>meter!F9</f>
        <v>129</v>
      </c>
      <c r="D16" s="7" t="s">
        <v>14</v>
      </c>
      <c r="E16" s="8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47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0">
        <f>meter!O9</f>
        <v>6600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">
        <f>meter!I9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meter!N9</f>
        <v>6000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>
        <f>GFA!C26</f>
        <v>0</v>
      </c>
      <c r="E26" s="1">
        <f>GFA!D26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38</v>
      </c>
      <c r="D28" s="1" t="s">
        <v>13</v>
      </c>
      <c r="E28" s="10">
        <f>IF(E18*2%*1&lt;0,0,E18*2%*1)</f>
        <v>132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12832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meter!R10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12832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ht="41.25" customHeight="1" x14ac:dyDescent="0.7">
      <c r="B37" s="56" t="s">
        <v>125</v>
      </c>
      <c r="N37" s="1">
        <f t="shared" si="0"/>
        <v>8770</v>
      </c>
      <c r="O37" s="1">
        <v>8770</v>
      </c>
    </row>
    <row r="38" spans="1:18" ht="45" customHeight="1" x14ac:dyDescent="0.7">
      <c r="B38" s="56" t="s">
        <v>126</v>
      </c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4"/>
    </row>
    <row r="43" spans="1:18" x14ac:dyDescent="0.35">
      <c r="B43" s="4"/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 t="s">
        <v>105</v>
      </c>
      <c r="C53" s="13"/>
    </row>
  </sheetData>
  <mergeCells count="1">
    <mergeCell ref="B51:K51"/>
  </mergeCells>
  <pageMargins left="0.7" right="0.7" top="0.75" bottom="0.75" header="0.3" footer="0.3"/>
  <pageSetup paperSize="9" scale="6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V53"/>
  <sheetViews>
    <sheetView view="pageBreakPreview" topLeftCell="A10" zoomScale="60" zoomScaleNormal="60" workbookViewId="0">
      <selection activeCell="B38" sqref="B38"/>
    </sheetView>
  </sheetViews>
  <sheetFormatPr defaultColWidth="9" defaultRowHeight="14.5" x14ac:dyDescent="0.35"/>
  <cols>
    <col min="1" max="1" width="5.81640625" style="1" customWidth="1"/>
    <col min="2" max="2" width="22.7265625" style="1" customWidth="1"/>
    <col min="3" max="3" width="31.54296875" style="1" customWidth="1"/>
    <col min="4" max="4" width="9.1796875" style="1" customWidth="1"/>
    <col min="5" max="5" width="15.7265625" style="1" customWidth="1"/>
    <col min="6" max="6" width="9.1796875" style="1" hidden="1" customWidth="1"/>
    <col min="7" max="7" width="9.1796875" style="1" customWidth="1"/>
    <col min="8" max="8" width="13.7265625" style="1" customWidth="1"/>
    <col min="9" max="9" width="2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GFA!G4+8-1</f>
        <v>20242008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meter!A10</f>
        <v>NECODEMUS</v>
      </c>
      <c r="N6" s="1">
        <f t="shared" si="0"/>
        <v>11070</v>
      </c>
      <c r="O6" s="1">
        <v>11070</v>
      </c>
    </row>
    <row r="7" spans="2:15" x14ac:dyDescent="0.35">
      <c r="C7" s="1" t="s">
        <v>100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20" t="s">
        <v>81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meter!E10</f>
        <v>88</v>
      </c>
      <c r="C16" s="7">
        <f>meter!F10</f>
        <v>88</v>
      </c>
      <c r="D16" s="7" t="s">
        <v>14</v>
      </c>
      <c r="E16" s="8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46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0">
        <f>meter!O10</f>
        <v>6389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">
        <f>meter!I10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meter!N10</f>
        <v>6000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>
        <f>GFA!C26</f>
        <v>0</v>
      </c>
      <c r="E26" s="1">
        <f>GFA!D26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17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38</v>
      </c>
      <c r="D28" s="1" t="s">
        <v>13</v>
      </c>
      <c r="E28" s="10">
        <f>IF(E18*2%*1&lt;0,0,E18*2%*1)</f>
        <v>127.78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12616.78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meter!R10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12616.78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ht="36" customHeight="1" x14ac:dyDescent="0.7">
      <c r="B37" s="56" t="s">
        <v>119</v>
      </c>
      <c r="N37" s="1">
        <f t="shared" si="0"/>
        <v>8770</v>
      </c>
      <c r="O37" s="1">
        <v>8770</v>
      </c>
    </row>
    <row r="38" spans="1:18" ht="33.75" customHeight="1" x14ac:dyDescent="0.7">
      <c r="B38" s="56" t="s">
        <v>127</v>
      </c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 t="s">
        <v>105</v>
      </c>
    </row>
    <row r="42" spans="1:18" x14ac:dyDescent="0.35">
      <c r="B42" s="13"/>
      <c r="I42" s="14"/>
    </row>
    <row r="43" spans="1:18" x14ac:dyDescent="0.35">
      <c r="B43" s="4"/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V53"/>
  <sheetViews>
    <sheetView view="pageBreakPreview" topLeftCell="A13" zoomScale="60" zoomScaleNormal="60" workbookViewId="0">
      <selection activeCell="B39" sqref="B39"/>
    </sheetView>
  </sheetViews>
  <sheetFormatPr defaultColWidth="9" defaultRowHeight="14.5" x14ac:dyDescent="0.35"/>
  <cols>
    <col min="1" max="1" width="9.1796875" style="1" customWidth="1"/>
    <col min="2" max="2" width="23.7265625" style="1" customWidth="1"/>
    <col min="3" max="3" width="24.54296875" style="1" customWidth="1"/>
    <col min="4" max="4" width="5.1796875" style="1" customWidth="1"/>
    <col min="5" max="5" width="12.54296875" style="1" customWidth="1"/>
    <col min="6" max="7" width="9.1796875" style="1" customWidth="1"/>
    <col min="8" max="8" width="13.81640625" style="1" customWidth="1"/>
    <col min="9" max="9" width="12.4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GFA!G4+9-1</f>
        <v>20242009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meter!A11</f>
        <v>EVELYNE</v>
      </c>
      <c r="N6" s="1">
        <f t="shared" si="0"/>
        <v>11070</v>
      </c>
      <c r="O6" s="1">
        <v>11070</v>
      </c>
    </row>
    <row r="7" spans="2:15" x14ac:dyDescent="0.35">
      <c r="C7" s="1" t="s">
        <v>101</v>
      </c>
      <c r="N7" s="1">
        <f t="shared" si="0"/>
        <v>1197</v>
      </c>
      <c r="O7" s="1">
        <v>1197</v>
      </c>
    </row>
    <row r="8" spans="2:15" x14ac:dyDescent="0.35">
      <c r="B8" s="1" t="s">
        <v>43</v>
      </c>
      <c r="C8" s="1" t="s">
        <v>82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C14" s="19"/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meter!E11</f>
        <v>134</v>
      </c>
      <c r="C16" s="7">
        <f>meter!F11</f>
        <v>136</v>
      </c>
      <c r="D16" s="7" t="s">
        <v>14</v>
      </c>
      <c r="E16" s="8">
        <f>C16-B16</f>
        <v>2</v>
      </c>
      <c r="N16" s="1">
        <f t="shared" si="0"/>
        <v>9420</v>
      </c>
      <c r="O16" s="1">
        <v>9420</v>
      </c>
    </row>
    <row r="17" spans="2:15" x14ac:dyDescent="0.35">
      <c r="E17" s="1" t="s">
        <v>46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0">
        <f>meter!O11</f>
        <v>9205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">
        <f>meter!I11</f>
        <v>210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meter!N11</f>
        <v>9000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>
        <f>GFA!C26</f>
        <v>0</v>
      </c>
      <c r="E26" s="1">
        <f>GFA!D26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17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56</v>
      </c>
      <c r="D28" s="1" t="s">
        <v>13</v>
      </c>
      <c r="E28" s="10">
        <f>IF(E18*2%*1&lt;0,0,E18*2%*1)</f>
        <v>184.1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18699.099999999999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meter!R11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61</v>
      </c>
      <c r="E34" s="12">
        <f>E30-E32</f>
        <v>18699.099999999999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ht="33.75" customHeight="1" x14ac:dyDescent="0.7">
      <c r="B38" s="56" t="s">
        <v>119</v>
      </c>
      <c r="N38" s="1">
        <f t="shared" si="0"/>
        <v>8770</v>
      </c>
      <c r="O38" s="1">
        <v>8770</v>
      </c>
    </row>
    <row r="39" spans="1:18" ht="36" customHeight="1" x14ac:dyDescent="0.7">
      <c r="B39" s="56" t="s">
        <v>128</v>
      </c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 t="s">
        <v>105</v>
      </c>
    </row>
    <row r="42" spans="1:18" x14ac:dyDescent="0.35">
      <c r="B42" s="13"/>
      <c r="I42" s="14"/>
    </row>
    <row r="43" spans="1:18" x14ac:dyDescent="0.35">
      <c r="B43" s="4"/>
    </row>
    <row r="44" spans="1:18" x14ac:dyDescent="0.35">
      <c r="B44" s="4"/>
    </row>
    <row r="45" spans="1:18" x14ac:dyDescent="0.35">
      <c r="A45" s="14"/>
      <c r="B45" s="4"/>
      <c r="G45" s="14"/>
      <c r="H45" s="14"/>
    </row>
    <row r="46" spans="1:18" x14ac:dyDescent="0.35">
      <c r="B46" s="4"/>
    </row>
    <row r="47" spans="1:18" ht="32" x14ac:dyDescent="0.7">
      <c r="B47" s="38"/>
      <c r="C47" s="39"/>
      <c r="D47" s="39"/>
      <c r="E47" s="39"/>
    </row>
    <row r="48" spans="1:18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V53"/>
  <sheetViews>
    <sheetView view="pageBreakPreview" topLeftCell="A23" zoomScale="60" zoomScaleNormal="60" workbookViewId="0">
      <selection activeCell="B38" sqref="B38"/>
    </sheetView>
  </sheetViews>
  <sheetFormatPr defaultColWidth="9" defaultRowHeight="14.5" x14ac:dyDescent="0.35"/>
  <cols>
    <col min="1" max="1" width="9.1796875" style="1" customWidth="1"/>
    <col min="2" max="2" width="26" style="1" customWidth="1"/>
    <col min="3" max="3" width="31.26953125" style="1" customWidth="1"/>
    <col min="4" max="4" width="9.1796875" style="1" customWidth="1"/>
    <col min="5" max="5" width="17.7265625" style="1" customWidth="1"/>
    <col min="6" max="7" width="9.1796875" style="1" customWidth="1"/>
    <col min="8" max="8" width="11.81640625" style="1" customWidth="1"/>
    <col min="9" max="9" width="14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GFA!G4+10-1</f>
        <v>20242010</v>
      </c>
      <c r="N4" s="1">
        <f t="shared" ref="N4:N36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meter!A12</f>
        <v>NELSON</v>
      </c>
      <c r="N6" s="1">
        <f t="shared" si="0"/>
        <v>11070</v>
      </c>
      <c r="O6" s="1">
        <v>11070</v>
      </c>
    </row>
    <row r="7" spans="2:15" x14ac:dyDescent="0.35">
      <c r="C7" s="1" t="s">
        <v>102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83</v>
      </c>
      <c r="N8" s="1">
        <f t="shared" si="0"/>
        <v>9250</v>
      </c>
      <c r="O8" s="1">
        <v>9250</v>
      </c>
    </row>
    <row r="9" spans="2:15" x14ac:dyDescent="0.35">
      <c r="C9" s="18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meter!E12</f>
        <v>258</v>
      </c>
      <c r="C16" s="7">
        <f>meter!F12</f>
        <v>258</v>
      </c>
      <c r="D16" s="7" t="s">
        <v>14</v>
      </c>
      <c r="E16" s="8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47</v>
      </c>
      <c r="G17" s="10"/>
      <c r="H17" s="10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">
        <f>meter!O12</f>
        <v>74</v>
      </c>
      <c r="G18" s="10"/>
      <c r="H18" s="10"/>
      <c r="N18" s="1">
        <f t="shared" si="0"/>
        <v>10430</v>
      </c>
      <c r="O18" s="1">
        <v>10430</v>
      </c>
    </row>
    <row r="19" spans="2:15" ht="15.5" x14ac:dyDescent="0.35">
      <c r="B19" s="9"/>
      <c r="E19" s="10"/>
      <c r="G19" s="10"/>
      <c r="H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">
        <f>meter!I12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meter!N12</f>
        <v>9500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 t="s">
        <v>13</v>
      </c>
      <c r="E26" s="10">
        <f>meter!M12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13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44</v>
      </c>
      <c r="D28" s="1" t="s">
        <v>13</v>
      </c>
      <c r="E28" s="10">
        <f>IF(E18*2%*1&lt;0,0,E18*2%*1)</f>
        <v>1.48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9675.48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meter!R12</f>
        <v>0</v>
      </c>
      <c r="N32" s="1">
        <f t="shared" si="0"/>
        <v>10750</v>
      </c>
      <c r="O32" s="1">
        <v>10750</v>
      </c>
    </row>
    <row r="33" spans="1:256" x14ac:dyDescent="0.35">
      <c r="E33" s="10"/>
      <c r="N33" s="1">
        <f t="shared" si="0"/>
        <v>11732</v>
      </c>
      <c r="O33" s="1">
        <v>11732</v>
      </c>
    </row>
    <row r="34" spans="1:256" x14ac:dyDescent="0.35">
      <c r="C34" s="1" t="s">
        <v>61</v>
      </c>
      <c r="E34" s="12">
        <f>E30-E32</f>
        <v>9675.48</v>
      </c>
      <c r="N34" s="1">
        <f t="shared" si="0"/>
        <v>10934</v>
      </c>
      <c r="O34" s="1">
        <v>10934</v>
      </c>
      <c r="R34" s="1">
        <v>700</v>
      </c>
    </row>
    <row r="35" spans="1:256" ht="15.5" x14ac:dyDescent="0.35">
      <c r="B35" s="9" t="s">
        <v>12</v>
      </c>
      <c r="N35" s="1">
        <f t="shared" si="0"/>
        <v>10270</v>
      </c>
      <c r="O35" s="1">
        <v>10270</v>
      </c>
    </row>
    <row r="36" spans="1:256" ht="24.75" customHeight="1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256" s="57" customFormat="1" ht="51" customHeight="1" x14ac:dyDescent="0.7">
      <c r="A37" s="55"/>
      <c r="B37" s="56" t="s">
        <v>119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5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</row>
    <row r="38" spans="1:256" s="57" customFormat="1" ht="46.5" customHeight="1" x14ac:dyDescent="0.7">
      <c r="A38" s="55"/>
      <c r="B38" s="56" t="s">
        <v>129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</row>
    <row r="39" spans="1:256" x14ac:dyDescent="0.35">
      <c r="B39" s="13" t="s">
        <v>105</v>
      </c>
    </row>
    <row r="40" spans="1:256" hidden="1" x14ac:dyDescent="0.35">
      <c r="B40" s="13"/>
    </row>
    <row r="41" spans="1:256" x14ac:dyDescent="0.35">
      <c r="B41" s="13"/>
    </row>
    <row r="42" spans="1:256" x14ac:dyDescent="0.35">
      <c r="B42" s="13"/>
      <c r="I42" s="14"/>
    </row>
    <row r="43" spans="1:256" x14ac:dyDescent="0.35">
      <c r="B43" s="4"/>
    </row>
    <row r="44" spans="1:256" x14ac:dyDescent="0.35">
      <c r="B44" s="4"/>
    </row>
    <row r="45" spans="1:256" x14ac:dyDescent="0.35">
      <c r="A45" s="14"/>
      <c r="B45" s="4"/>
      <c r="G45" s="14"/>
      <c r="H45" s="14"/>
    </row>
    <row r="46" spans="1:256" x14ac:dyDescent="0.35">
      <c r="B46" s="4"/>
    </row>
    <row r="47" spans="1:256" ht="32" x14ac:dyDescent="0.7">
      <c r="B47" s="38"/>
      <c r="C47" s="39"/>
      <c r="D47" s="39"/>
      <c r="E47" s="39"/>
    </row>
    <row r="48" spans="1:256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6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V53"/>
  <sheetViews>
    <sheetView view="pageBreakPreview" topLeftCell="A19" zoomScale="60" zoomScaleNormal="60" workbookViewId="0">
      <selection activeCell="C47" sqref="C47"/>
    </sheetView>
  </sheetViews>
  <sheetFormatPr defaultColWidth="9" defaultRowHeight="14.5" x14ac:dyDescent="0.35"/>
  <cols>
    <col min="1" max="1" width="4.54296875" style="1" customWidth="1"/>
    <col min="2" max="2" width="23.81640625" style="1" customWidth="1"/>
    <col min="3" max="3" width="31" style="1" customWidth="1"/>
    <col min="4" max="4" width="10.26953125" style="1" customWidth="1"/>
    <col min="5" max="5" width="15.453125" style="1" customWidth="1"/>
    <col min="6" max="6" width="9.1796875" style="1" hidden="1" customWidth="1"/>
    <col min="7" max="7" width="9.1796875" style="1" customWidth="1"/>
    <col min="8" max="8" width="15.269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104</v>
      </c>
      <c r="N2" s="1" t="s">
        <v>71</v>
      </c>
      <c r="O2" s="1" t="s">
        <v>70</v>
      </c>
    </row>
    <row r="3" spans="2:15" x14ac:dyDescent="0.35">
      <c r="B3" s="1" t="str">
        <f>GFA!B3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GFA!G4+11-1</f>
        <v>20242011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meter!A13</f>
        <v>agnes</v>
      </c>
      <c r="N6" s="1">
        <f t="shared" si="0"/>
        <v>11070</v>
      </c>
      <c r="O6" s="1">
        <v>11070</v>
      </c>
    </row>
    <row r="7" spans="2:15" x14ac:dyDescent="0.35">
      <c r="C7" s="1" t="s">
        <v>103</v>
      </c>
      <c r="N7" s="1">
        <f t="shared" si="0"/>
        <v>1197</v>
      </c>
      <c r="O7" s="1">
        <v>1197</v>
      </c>
    </row>
    <row r="8" spans="2:15" x14ac:dyDescent="0.35">
      <c r="B8" s="1" t="s">
        <v>41</v>
      </c>
      <c r="C8" s="1" t="s">
        <v>84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5" t="str">
        <f>GFA!C10</f>
        <v>29TH JAN 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5" t="str">
        <f>GFA!C12</f>
        <v>5TH FEB 2026</v>
      </c>
      <c r="N12" s="1">
        <f t="shared" si="0"/>
        <v>10910</v>
      </c>
      <c r="O12" s="1">
        <v>10910</v>
      </c>
    </row>
    <row r="13" spans="2:15" x14ac:dyDescent="0.35">
      <c r="C13" s="1" t="s">
        <v>36</v>
      </c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meter!E13</f>
        <v>148</v>
      </c>
      <c r="C16" s="7">
        <f>meter!F13</f>
        <v>149</v>
      </c>
      <c r="D16" s="7" t="s">
        <v>14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46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15</v>
      </c>
      <c r="E18" s="1">
        <f>meter!O13</f>
        <v>205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13</v>
      </c>
      <c r="E20" s="10">
        <f>meter!I13</f>
        <v>105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57</v>
      </c>
      <c r="D22" s="1" t="s">
        <v>13</v>
      </c>
      <c r="E22" s="1">
        <f>GFA!D22</f>
        <v>70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20</v>
      </c>
      <c r="D24" s="1" t="s">
        <v>13</v>
      </c>
      <c r="E24" s="10">
        <f>meter!N13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D26" s="1" t="s">
        <v>13</v>
      </c>
      <c r="E26" s="10">
        <f>GFA!D26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73</v>
      </c>
      <c r="D27" s="11" t="s">
        <v>13</v>
      </c>
      <c r="E27" s="10">
        <v>30</v>
      </c>
      <c r="N27" s="1">
        <f t="shared" si="0"/>
        <v>11393</v>
      </c>
      <c r="O27" s="1">
        <v>11393</v>
      </c>
    </row>
    <row r="28" spans="2:15" x14ac:dyDescent="0.35">
      <c r="C28" s="1" t="s">
        <v>44</v>
      </c>
      <c r="D28" s="1" t="s">
        <v>13</v>
      </c>
      <c r="E28" s="10">
        <f>IF(E18*2%*1&lt;0,0,E18*2%*1)</f>
        <v>4.0999999999999996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36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17</v>
      </c>
      <c r="E30" s="10">
        <f>SUM(E17:E29)</f>
        <v>7414.1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26</v>
      </c>
      <c r="E32" s="10">
        <f>meter!R13</f>
        <v>0</v>
      </c>
      <c r="N32" s="1">
        <f t="shared" si="0"/>
        <v>10750</v>
      </c>
      <c r="O32" s="1">
        <v>10750</v>
      </c>
    </row>
    <row r="33" spans="1:256" x14ac:dyDescent="0.35">
      <c r="E33" s="10"/>
      <c r="N33" s="1">
        <f t="shared" si="0"/>
        <v>11732</v>
      </c>
      <c r="O33" s="1">
        <v>11732</v>
      </c>
    </row>
    <row r="34" spans="1:256" x14ac:dyDescent="0.35">
      <c r="C34" s="1" t="s">
        <v>61</v>
      </c>
      <c r="E34" s="12">
        <f>E30-E32</f>
        <v>7414.1</v>
      </c>
      <c r="N34" s="1">
        <f t="shared" si="0"/>
        <v>10934</v>
      </c>
      <c r="O34" s="1">
        <v>10934</v>
      </c>
      <c r="R34" s="1">
        <v>700</v>
      </c>
    </row>
    <row r="35" spans="1:256" ht="15.5" x14ac:dyDescent="0.35">
      <c r="B35" s="9" t="s">
        <v>12</v>
      </c>
      <c r="N35" s="1">
        <f t="shared" si="0"/>
        <v>10270</v>
      </c>
      <c r="O35" s="1">
        <v>10270</v>
      </c>
    </row>
    <row r="36" spans="1:256" ht="18.5" x14ac:dyDescent="0.45">
      <c r="A36" s="1" t="s">
        <v>49</v>
      </c>
      <c r="B36" s="37" t="s">
        <v>39</v>
      </c>
      <c r="N36" s="1">
        <f t="shared" si="0"/>
        <v>10598</v>
      </c>
      <c r="O36" s="1">
        <v>10598</v>
      </c>
    </row>
    <row r="37" spans="1:256" x14ac:dyDescent="0.35">
      <c r="B37" s="13"/>
      <c r="N37" s="1">
        <f t="shared" si="0"/>
        <v>8770</v>
      </c>
      <c r="O37" s="1">
        <v>8770</v>
      </c>
    </row>
    <row r="38" spans="1:256" x14ac:dyDescent="0.35">
      <c r="B38" s="13"/>
      <c r="N38" s="1">
        <f t="shared" si="0"/>
        <v>8770</v>
      </c>
      <c r="O38" s="1">
        <v>8770</v>
      </c>
    </row>
    <row r="39" spans="1:256" s="62" customFormat="1" ht="43.5" customHeight="1" x14ac:dyDescent="0.75">
      <c r="A39" s="60"/>
      <c r="B39" s="61" t="s">
        <v>119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  <c r="FK39" s="60"/>
      <c r="FL39" s="60"/>
      <c r="FM39" s="60"/>
      <c r="FN39" s="60"/>
      <c r="FO39" s="60"/>
      <c r="FP39" s="60"/>
      <c r="FQ39" s="60"/>
      <c r="FR39" s="60"/>
      <c r="FS39" s="60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  <c r="GT39" s="60"/>
      <c r="GU39" s="60"/>
      <c r="GV39" s="60"/>
      <c r="GW39" s="60"/>
      <c r="GX39" s="60"/>
      <c r="GY39" s="60"/>
      <c r="GZ39" s="60"/>
      <c r="HA39" s="60"/>
      <c r="HB39" s="60"/>
      <c r="HC39" s="60"/>
      <c r="HD39" s="60"/>
      <c r="HE39" s="60"/>
      <c r="HF39" s="60"/>
      <c r="HG39" s="60"/>
      <c r="HH39" s="60"/>
      <c r="HI39" s="60"/>
      <c r="HJ39" s="60"/>
      <c r="HK39" s="60"/>
      <c r="HL39" s="60"/>
      <c r="HM39" s="60"/>
      <c r="HN39" s="60"/>
      <c r="HO39" s="60"/>
      <c r="HP39" s="60"/>
      <c r="HQ39" s="60"/>
      <c r="HR39" s="60"/>
      <c r="HS39" s="60"/>
      <c r="HT39" s="60"/>
      <c r="HU39" s="60"/>
      <c r="HV39" s="60"/>
      <c r="HW39" s="60"/>
      <c r="HX39" s="60"/>
      <c r="HY39" s="60"/>
      <c r="HZ39" s="60"/>
      <c r="IA39" s="60"/>
      <c r="IB39" s="60"/>
      <c r="IC39" s="60"/>
      <c r="ID39" s="60"/>
      <c r="IE39" s="60"/>
      <c r="IF39" s="60"/>
      <c r="IG39" s="60"/>
      <c r="IH39" s="60"/>
      <c r="II39" s="60"/>
      <c r="IJ39" s="60"/>
      <c r="IK39" s="60"/>
      <c r="IL39" s="60"/>
      <c r="IM39" s="60"/>
      <c r="IN39" s="60"/>
      <c r="IO39" s="60"/>
      <c r="IP39" s="60"/>
      <c r="IQ39" s="60"/>
      <c r="IR39" s="60"/>
      <c r="IS39" s="60"/>
      <c r="IT39" s="60"/>
      <c r="IU39" s="60"/>
      <c r="IV39" s="60"/>
    </row>
    <row r="40" spans="1:256" s="57" customFormat="1" ht="32.25" customHeight="1" x14ac:dyDescent="0.7">
      <c r="A40" s="55"/>
      <c r="B40" s="56" t="s">
        <v>130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  <c r="IN40" s="55"/>
      <c r="IO40" s="55"/>
      <c r="IP40" s="55"/>
      <c r="IQ40" s="55"/>
      <c r="IR40" s="55"/>
      <c r="IS40" s="55"/>
      <c r="IT40" s="55"/>
      <c r="IU40" s="55"/>
      <c r="IV40" s="55"/>
    </row>
    <row r="41" spans="1:256" s="59" customFormat="1" ht="21" x14ac:dyDescent="0.5">
      <c r="A41" s="26"/>
      <c r="B41" s="58" t="s">
        <v>105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</row>
    <row r="42" spans="1:256" x14ac:dyDescent="0.35">
      <c r="B42" s="13"/>
      <c r="I42" s="14"/>
    </row>
    <row r="43" spans="1:256" x14ac:dyDescent="0.35">
      <c r="B43" s="4"/>
    </row>
    <row r="44" spans="1:256" x14ac:dyDescent="0.35">
      <c r="B44" s="4"/>
    </row>
    <row r="45" spans="1:256" x14ac:dyDescent="0.35">
      <c r="A45" s="14"/>
      <c r="B45" s="4"/>
      <c r="G45" s="14"/>
      <c r="H45" s="14"/>
    </row>
    <row r="46" spans="1:256" x14ac:dyDescent="0.35">
      <c r="B46" s="4"/>
    </row>
    <row r="47" spans="1:256" ht="32" x14ac:dyDescent="0.7">
      <c r="B47" s="38"/>
      <c r="C47" s="39"/>
      <c r="D47" s="39"/>
      <c r="E47" s="39"/>
    </row>
    <row r="48" spans="1:256" x14ac:dyDescent="0.35">
      <c r="B48" s="14"/>
      <c r="C48" s="14"/>
      <c r="D48" s="14"/>
      <c r="E48" s="14"/>
      <c r="F48" s="14"/>
    </row>
    <row r="49" spans="1:15" x14ac:dyDescent="0.35">
      <c r="A49" s="13"/>
      <c r="B49" s="14"/>
      <c r="O49" s="1" t="s">
        <v>76</v>
      </c>
    </row>
    <row r="50" spans="1:15" ht="32" x14ac:dyDescent="0.7">
      <c r="A50" s="13"/>
      <c r="B50" s="38"/>
      <c r="G50" s="13"/>
      <c r="H50" s="13"/>
    </row>
    <row r="51" spans="1:15" ht="32" x14ac:dyDescent="0.7">
      <c r="A51" s="13"/>
      <c r="B51" s="80"/>
      <c r="C51" s="81"/>
      <c r="D51" s="81"/>
      <c r="E51" s="81"/>
      <c r="F51" s="81"/>
      <c r="G51" s="81"/>
      <c r="H51" s="81"/>
      <c r="I51" s="81"/>
      <c r="J51" s="81"/>
      <c r="K51" s="82"/>
    </row>
    <row r="52" spans="1:15" x14ac:dyDescent="0.35">
      <c r="A52" s="13"/>
      <c r="B52" s="13"/>
      <c r="C52" s="4"/>
    </row>
    <row r="53" spans="1:15" x14ac:dyDescent="0.35">
      <c r="B53" s="13"/>
      <c r="C53" s="13"/>
    </row>
  </sheetData>
  <mergeCells count="1">
    <mergeCell ref="B51:K51"/>
  </mergeCells>
  <pageMargins left="0.7" right="0.7" top="0.75" bottom="0.75" header="0.3" footer="0.3"/>
  <pageSetup paperSize="9"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U36"/>
  <sheetViews>
    <sheetView tabSelected="1" showWhiteSpace="0" view="pageLayout" zoomScale="60" zoomScaleNormal="61" zoomScaleSheetLayoutView="70" zoomScalePageLayoutView="60" workbookViewId="0">
      <selection activeCell="O10" sqref="O10"/>
    </sheetView>
  </sheetViews>
  <sheetFormatPr defaultColWidth="9" defaultRowHeight="21" x14ac:dyDescent="0.5"/>
  <cols>
    <col min="1" max="1" width="27.26953125" style="21" customWidth="1"/>
    <col min="2" max="2" width="5" style="21" customWidth="1"/>
    <col min="3" max="3" width="9.1796875" style="21" customWidth="1"/>
    <col min="4" max="4" width="15.7265625" style="21" customWidth="1"/>
    <col min="5" max="6" width="12.26953125" style="21" customWidth="1"/>
    <col min="7" max="7" width="12.1796875" style="21" customWidth="1"/>
    <col min="8" max="8" width="11.81640625" style="21" customWidth="1"/>
    <col min="9" max="9" width="11" style="22" customWidth="1"/>
    <col min="10" max="10" width="9.26953125" style="21" customWidth="1"/>
    <col min="11" max="11" width="15.453125" style="21" customWidth="1"/>
    <col min="12" max="12" width="14.453125" style="21" customWidth="1"/>
    <col min="13" max="13" width="0.1796875" style="21" customWidth="1"/>
    <col min="14" max="14" width="20.54296875" style="21" customWidth="1"/>
    <col min="15" max="15" width="15.1796875" style="21" customWidth="1"/>
    <col min="16" max="16" width="11.54296875" style="21" customWidth="1"/>
    <col min="17" max="17" width="17.7265625" style="21" customWidth="1"/>
    <col min="18" max="18" width="9" style="21" hidden="1" customWidth="1"/>
    <col min="19" max="19" width="18" style="21" hidden="1" customWidth="1"/>
    <col min="20" max="20" width="32.1796875" style="21" hidden="1" customWidth="1"/>
    <col min="21" max="21" width="9" style="21" hidden="1" customWidth="1"/>
    <col min="22" max="22" width="12.7265625" style="21" customWidth="1"/>
    <col min="23" max="23" width="0.54296875" style="22" customWidth="1"/>
    <col min="24" max="24" width="23.7265625" style="21" customWidth="1"/>
    <col min="25" max="255" width="9" style="21" customWidth="1"/>
    <col min="256" max="16384" width="9" style="40"/>
  </cols>
  <sheetData>
    <row r="1" spans="1:255" x14ac:dyDescent="0.5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4"/>
      <c r="X1" s="23"/>
      <c r="Y1" s="23"/>
    </row>
    <row r="2" spans="1:255" s="25" customFormat="1" x14ac:dyDescent="0.5">
      <c r="A2" s="26" t="s">
        <v>64</v>
      </c>
      <c r="B2" s="26"/>
      <c r="C2" s="26" t="s">
        <v>32</v>
      </c>
      <c r="D2" s="26" t="s">
        <v>28</v>
      </c>
      <c r="E2" s="26" t="s">
        <v>29</v>
      </c>
      <c r="F2" s="26" t="s">
        <v>30</v>
      </c>
      <c r="G2" s="26" t="s">
        <v>31</v>
      </c>
      <c r="H2" s="26" t="s">
        <v>34</v>
      </c>
      <c r="I2" s="27" t="s">
        <v>72</v>
      </c>
      <c r="J2" s="26" t="s">
        <v>33</v>
      </c>
      <c r="K2" s="26" t="s">
        <v>37</v>
      </c>
      <c r="L2" s="26" t="s">
        <v>73</v>
      </c>
      <c r="M2" s="26"/>
      <c r="N2" s="26" t="s">
        <v>24</v>
      </c>
      <c r="O2" s="26" t="s">
        <v>60</v>
      </c>
      <c r="P2" s="26" t="s">
        <v>62</v>
      </c>
      <c r="Q2" s="26" t="s">
        <v>25</v>
      </c>
      <c r="R2" s="26" t="s">
        <v>26</v>
      </c>
      <c r="S2" s="26" t="s">
        <v>59</v>
      </c>
      <c r="T2" s="26" t="s">
        <v>66</v>
      </c>
      <c r="U2" s="26" t="s">
        <v>58</v>
      </c>
      <c r="V2" s="26" t="s">
        <v>75</v>
      </c>
      <c r="W2" s="27"/>
      <c r="X2" s="26"/>
      <c r="Y2" s="27"/>
      <c r="Z2" s="28"/>
      <c r="AA2" s="28"/>
      <c r="AB2" s="28"/>
    </row>
    <row r="3" spans="1:255" s="21" customFormat="1" x14ac:dyDescent="0.5">
      <c r="A3" s="41" t="s">
        <v>92</v>
      </c>
      <c r="B3" s="30">
        <v>1</v>
      </c>
      <c r="C3" s="23" t="s">
        <v>77</v>
      </c>
      <c r="D3" s="42">
        <v>46023</v>
      </c>
      <c r="E3" s="46">
        <v>177</v>
      </c>
      <c r="F3" s="46">
        <v>179</v>
      </c>
      <c r="G3" s="23">
        <f>F3-E3</f>
        <v>2</v>
      </c>
      <c r="H3" s="23">
        <v>105</v>
      </c>
      <c r="I3" s="24">
        <f t="shared" ref="I3:I13" si="0">G3*H3</f>
        <v>210</v>
      </c>
      <c r="J3" s="23">
        <v>70</v>
      </c>
      <c r="K3" s="24">
        <f>SUM(I3+J3)</f>
        <v>280</v>
      </c>
      <c r="L3" s="24">
        <v>30</v>
      </c>
      <c r="M3" s="24">
        <v>0</v>
      </c>
      <c r="N3" s="41">
        <v>6000</v>
      </c>
      <c r="O3" s="44">
        <v>5</v>
      </c>
      <c r="P3" s="24">
        <f>GFA!D28</f>
        <v>0.1</v>
      </c>
      <c r="Q3" s="24">
        <f t="shared" ref="Q3:Q13" si="1">K3+L3+M3+N3+O3+P3</f>
        <v>6315.1</v>
      </c>
      <c r="R3" s="24">
        <v>0</v>
      </c>
      <c r="S3" s="24">
        <f t="shared" ref="S3:S13" si="2">Q3-R3</f>
        <v>6315.1</v>
      </c>
      <c r="T3" s="24"/>
      <c r="U3" s="23"/>
      <c r="V3" s="23">
        <v>1</v>
      </c>
      <c r="W3" s="24">
        <v>10700</v>
      </c>
      <c r="X3" s="29">
        <f t="shared" ref="X3:X13" si="3">W3-Q3</f>
        <v>4384.8999999999996</v>
      </c>
      <c r="Y3" s="24"/>
      <c r="Z3" s="22"/>
      <c r="AA3" s="22"/>
      <c r="AB3" s="22"/>
    </row>
    <row r="4" spans="1:255" x14ac:dyDescent="0.5">
      <c r="A4" s="23" t="s">
        <v>115</v>
      </c>
      <c r="B4" s="23">
        <v>2</v>
      </c>
      <c r="C4" s="23" t="s">
        <v>78</v>
      </c>
      <c r="D4" s="42">
        <v>46023</v>
      </c>
      <c r="E4" s="46">
        <v>110</v>
      </c>
      <c r="F4" s="46">
        <v>110</v>
      </c>
      <c r="G4" s="23">
        <f t="shared" ref="G4:G13" si="4">F4-E4</f>
        <v>0</v>
      </c>
      <c r="H4" s="23">
        <v>105</v>
      </c>
      <c r="I4" s="24">
        <f t="shared" si="0"/>
        <v>0</v>
      </c>
      <c r="J4" s="23">
        <v>70</v>
      </c>
      <c r="K4" s="24">
        <f t="shared" ref="K4:K13" si="5">I4+J4</f>
        <v>70</v>
      </c>
      <c r="L4" s="24">
        <v>30</v>
      </c>
      <c r="M4" s="24">
        <v>0</v>
      </c>
      <c r="N4" s="41">
        <v>5000</v>
      </c>
      <c r="O4" s="44"/>
      <c r="P4" s="24">
        <f>GFB!F28</f>
        <v>0</v>
      </c>
      <c r="Q4" s="24">
        <f t="shared" si="1"/>
        <v>5100</v>
      </c>
      <c r="R4" s="24">
        <v>0</v>
      </c>
      <c r="S4" s="24">
        <f t="shared" si="2"/>
        <v>5100</v>
      </c>
      <c r="T4" s="24"/>
      <c r="U4" s="23"/>
      <c r="V4" s="23">
        <v>2</v>
      </c>
      <c r="W4" s="24">
        <v>11800</v>
      </c>
      <c r="X4" s="29">
        <f t="shared" si="3"/>
        <v>6700</v>
      </c>
      <c r="Y4" s="24"/>
      <c r="Z4" s="22"/>
      <c r="AA4" s="22"/>
      <c r="AB4" s="22"/>
    </row>
    <row r="5" spans="1:255" s="21" customFormat="1" x14ac:dyDescent="0.5">
      <c r="A5" s="23" t="s">
        <v>85</v>
      </c>
      <c r="B5" s="23">
        <v>3</v>
      </c>
      <c r="C5" s="23" t="s">
        <v>16</v>
      </c>
      <c r="D5" s="42">
        <f>SUM(D4)</f>
        <v>46023</v>
      </c>
      <c r="E5" s="46">
        <v>144</v>
      </c>
      <c r="F5" s="46">
        <v>147</v>
      </c>
      <c r="G5" s="23">
        <f t="shared" si="4"/>
        <v>3</v>
      </c>
      <c r="H5" s="23">
        <v>105</v>
      </c>
      <c r="I5" s="24">
        <f t="shared" si="0"/>
        <v>315</v>
      </c>
      <c r="J5" s="23">
        <v>70</v>
      </c>
      <c r="K5" s="24">
        <f t="shared" si="5"/>
        <v>385</v>
      </c>
      <c r="L5" s="24">
        <v>30</v>
      </c>
      <c r="M5" s="24">
        <v>0</v>
      </c>
      <c r="N5" s="41">
        <v>6000</v>
      </c>
      <c r="O5" s="44">
        <v>2925</v>
      </c>
      <c r="P5" s="24">
        <f>'1A'!E28</f>
        <v>58.5</v>
      </c>
      <c r="Q5" s="24">
        <f t="shared" si="1"/>
        <v>9398.5</v>
      </c>
      <c r="R5" s="24">
        <v>0</v>
      </c>
      <c r="S5" s="24">
        <f t="shared" si="2"/>
        <v>9398.5</v>
      </c>
      <c r="T5" s="24"/>
      <c r="U5" s="23"/>
      <c r="V5" s="23">
        <v>3</v>
      </c>
      <c r="W5" s="24">
        <v>11640</v>
      </c>
      <c r="X5" s="29">
        <f t="shared" si="3"/>
        <v>2241.5</v>
      </c>
      <c r="Y5" s="24"/>
      <c r="Z5" s="22"/>
      <c r="AA5" s="22"/>
      <c r="AB5" s="22"/>
    </row>
    <row r="6" spans="1:255" x14ac:dyDescent="0.5">
      <c r="A6" s="23" t="s">
        <v>88</v>
      </c>
      <c r="B6" s="23">
        <v>4</v>
      </c>
      <c r="C6" s="23" t="s">
        <v>22</v>
      </c>
      <c r="D6" s="42">
        <f>SUM(D4)</f>
        <v>46023</v>
      </c>
      <c r="E6" s="46">
        <v>213</v>
      </c>
      <c r="F6" s="46">
        <v>213</v>
      </c>
      <c r="G6" s="23">
        <f t="shared" si="4"/>
        <v>0</v>
      </c>
      <c r="H6" s="23">
        <v>105</v>
      </c>
      <c r="I6" s="24">
        <f t="shared" si="0"/>
        <v>0</v>
      </c>
      <c r="J6" s="23">
        <v>70</v>
      </c>
      <c r="K6" s="24">
        <f t="shared" si="5"/>
        <v>70</v>
      </c>
      <c r="L6" s="24">
        <v>30</v>
      </c>
      <c r="M6" s="24">
        <v>0</v>
      </c>
      <c r="N6" s="41">
        <v>6000</v>
      </c>
      <c r="O6" s="44">
        <v>6310</v>
      </c>
      <c r="P6" s="24">
        <f>'2A'!E28</f>
        <v>126.2</v>
      </c>
      <c r="Q6" s="24">
        <f t="shared" si="1"/>
        <v>12536.2</v>
      </c>
      <c r="R6" s="24">
        <v>0</v>
      </c>
      <c r="S6" s="24">
        <f t="shared" si="2"/>
        <v>12536.2</v>
      </c>
      <c r="T6" s="24"/>
      <c r="U6" s="23"/>
      <c r="V6" s="23">
        <v>4</v>
      </c>
      <c r="W6" s="24">
        <v>10700</v>
      </c>
      <c r="X6" s="29">
        <f t="shared" si="3"/>
        <v>-1836.2000000000007</v>
      </c>
      <c r="Y6" s="24"/>
      <c r="Z6" s="22"/>
      <c r="AA6" s="22"/>
      <c r="AB6" s="22"/>
    </row>
    <row r="7" spans="1:255" s="43" customFormat="1" x14ac:dyDescent="0.5">
      <c r="A7" s="23" t="s">
        <v>90</v>
      </c>
      <c r="B7" s="23">
        <v>5</v>
      </c>
      <c r="C7" s="23" t="s">
        <v>21</v>
      </c>
      <c r="D7" s="42">
        <f t="shared" ref="D7:D13" si="6">SUM(D4)</f>
        <v>46023</v>
      </c>
      <c r="E7" s="46">
        <v>159</v>
      </c>
      <c r="F7" s="46">
        <v>160</v>
      </c>
      <c r="G7" s="23">
        <f>F7-E7</f>
        <v>1</v>
      </c>
      <c r="H7" s="23">
        <v>105</v>
      </c>
      <c r="I7" s="24">
        <f>G7*H7</f>
        <v>105</v>
      </c>
      <c r="J7" s="23">
        <v>70</v>
      </c>
      <c r="K7" s="24">
        <f t="shared" si="5"/>
        <v>175</v>
      </c>
      <c r="L7" s="24">
        <v>30</v>
      </c>
      <c r="M7" s="24">
        <v>0</v>
      </c>
      <c r="N7" s="41">
        <v>6000</v>
      </c>
      <c r="O7" s="44">
        <v>20665</v>
      </c>
      <c r="P7" s="24">
        <f>'3A'!E28</f>
        <v>413.3</v>
      </c>
      <c r="Q7" s="24">
        <f t="shared" si="1"/>
        <v>27283.3</v>
      </c>
      <c r="R7" s="24">
        <v>0</v>
      </c>
      <c r="S7" s="24">
        <f t="shared" si="2"/>
        <v>27283.3</v>
      </c>
      <c r="T7" s="24"/>
      <c r="U7" s="23"/>
      <c r="V7" s="23">
        <v>5</v>
      </c>
      <c r="W7" s="24">
        <v>2300</v>
      </c>
      <c r="X7" s="29">
        <f t="shared" si="3"/>
        <v>-24983.3</v>
      </c>
      <c r="Y7" s="23"/>
    </row>
    <row r="8" spans="1:255" x14ac:dyDescent="0.5">
      <c r="A8" s="23" t="s">
        <v>86</v>
      </c>
      <c r="B8" s="23">
        <v>6</v>
      </c>
      <c r="C8" s="23" t="s">
        <v>79</v>
      </c>
      <c r="D8" s="42">
        <f t="shared" si="6"/>
        <v>46023</v>
      </c>
      <c r="E8" s="46">
        <v>195</v>
      </c>
      <c r="F8" s="46">
        <v>196</v>
      </c>
      <c r="G8" s="23">
        <f t="shared" si="4"/>
        <v>1</v>
      </c>
      <c r="H8" s="23">
        <v>105</v>
      </c>
      <c r="I8" s="24">
        <f t="shared" si="0"/>
        <v>105</v>
      </c>
      <c r="J8" s="23">
        <v>70</v>
      </c>
      <c r="K8" s="24">
        <f t="shared" si="5"/>
        <v>175</v>
      </c>
      <c r="L8" s="24">
        <v>30</v>
      </c>
      <c r="M8" s="24">
        <v>0</v>
      </c>
      <c r="N8" s="41">
        <v>6000</v>
      </c>
      <c r="O8" s="44">
        <v>110</v>
      </c>
      <c r="P8" s="24">
        <f>'1B'!E28</f>
        <v>2.2000000000000002</v>
      </c>
      <c r="Q8" s="24">
        <f t="shared" si="1"/>
        <v>6317.2</v>
      </c>
      <c r="R8" s="24">
        <v>0</v>
      </c>
      <c r="S8" s="24">
        <f t="shared" si="2"/>
        <v>6317.2</v>
      </c>
      <c r="T8" s="24"/>
      <c r="U8" s="23"/>
      <c r="V8" s="23">
        <v>6</v>
      </c>
      <c r="W8" s="24">
        <v>9420</v>
      </c>
      <c r="X8" s="29">
        <f t="shared" si="3"/>
        <v>3102.8</v>
      </c>
      <c r="Y8" s="27"/>
      <c r="Z8" s="28"/>
      <c r="AA8" s="28"/>
      <c r="AB8" s="28"/>
      <c r="AC8" s="30"/>
      <c r="AD8" s="30"/>
    </row>
    <row r="9" spans="1:255" s="53" customFormat="1" x14ac:dyDescent="0.5">
      <c r="A9" s="47" t="s">
        <v>89</v>
      </c>
      <c r="B9" s="47">
        <v>7</v>
      </c>
      <c r="C9" s="47" t="s">
        <v>80</v>
      </c>
      <c r="D9" s="48">
        <f t="shared" si="6"/>
        <v>46023</v>
      </c>
      <c r="E9" s="46">
        <v>129</v>
      </c>
      <c r="F9" s="46">
        <v>129</v>
      </c>
      <c r="G9" s="47">
        <f t="shared" si="4"/>
        <v>0</v>
      </c>
      <c r="H9" s="47">
        <v>105</v>
      </c>
      <c r="I9" s="24">
        <f t="shared" si="0"/>
        <v>0</v>
      </c>
      <c r="J9" s="47">
        <v>70</v>
      </c>
      <c r="K9" s="49">
        <f t="shared" si="5"/>
        <v>70</v>
      </c>
      <c r="L9" s="49">
        <v>30</v>
      </c>
      <c r="M9" s="49">
        <v>0</v>
      </c>
      <c r="N9" s="50">
        <v>6000</v>
      </c>
      <c r="O9" s="44">
        <v>6600</v>
      </c>
      <c r="P9" s="49">
        <f>'2B'!E28</f>
        <v>132</v>
      </c>
      <c r="Q9" s="49">
        <f t="shared" si="1"/>
        <v>12832</v>
      </c>
      <c r="R9" s="49">
        <v>0</v>
      </c>
      <c r="S9" s="49">
        <f t="shared" si="2"/>
        <v>12832</v>
      </c>
      <c r="T9" s="49"/>
      <c r="U9" s="47"/>
      <c r="V9" s="47">
        <v>7</v>
      </c>
      <c r="W9" s="49">
        <v>9920</v>
      </c>
      <c r="X9" s="51">
        <f t="shared" si="3"/>
        <v>-2912</v>
      </c>
      <c r="Y9" s="47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</row>
    <row r="10" spans="1:255" x14ac:dyDescent="0.5">
      <c r="A10" s="36" t="s">
        <v>91</v>
      </c>
      <c r="B10" s="21">
        <v>8</v>
      </c>
      <c r="C10" s="23" t="s">
        <v>81</v>
      </c>
      <c r="D10" s="42">
        <f t="shared" si="6"/>
        <v>46023</v>
      </c>
      <c r="E10" s="46">
        <v>88</v>
      </c>
      <c r="F10" s="46">
        <v>88</v>
      </c>
      <c r="G10" s="23">
        <f t="shared" si="4"/>
        <v>0</v>
      </c>
      <c r="H10" s="23">
        <v>105</v>
      </c>
      <c r="I10" s="24">
        <f t="shared" si="0"/>
        <v>0</v>
      </c>
      <c r="J10" s="23">
        <v>70</v>
      </c>
      <c r="K10" s="24">
        <f t="shared" si="5"/>
        <v>70</v>
      </c>
      <c r="L10" s="24">
        <v>30</v>
      </c>
      <c r="M10" s="24">
        <v>0</v>
      </c>
      <c r="N10" s="41">
        <v>6000</v>
      </c>
      <c r="O10" s="44">
        <v>6389</v>
      </c>
      <c r="P10" s="24">
        <f>'3B'!E28</f>
        <v>127.78</v>
      </c>
      <c r="Q10" s="24">
        <f t="shared" si="1"/>
        <v>12616.78</v>
      </c>
      <c r="R10" s="24">
        <v>0</v>
      </c>
      <c r="S10" s="24">
        <f t="shared" si="2"/>
        <v>12616.78</v>
      </c>
      <c r="T10" s="24"/>
      <c r="U10" s="23"/>
      <c r="V10" s="23">
        <v>8</v>
      </c>
      <c r="W10" s="24">
        <v>11860</v>
      </c>
      <c r="X10" s="29">
        <f t="shared" si="3"/>
        <v>-756.78000000000065</v>
      </c>
      <c r="Y10" s="23"/>
    </row>
    <row r="11" spans="1:255" x14ac:dyDescent="0.5">
      <c r="A11" s="36" t="s">
        <v>87</v>
      </c>
      <c r="B11" s="21">
        <v>9</v>
      </c>
      <c r="C11" s="23" t="s">
        <v>82</v>
      </c>
      <c r="D11" s="42">
        <f t="shared" si="6"/>
        <v>46023</v>
      </c>
      <c r="E11" s="46">
        <v>134</v>
      </c>
      <c r="F11" s="46">
        <v>136</v>
      </c>
      <c r="G11" s="23">
        <f t="shared" si="4"/>
        <v>2</v>
      </c>
      <c r="H11" s="23">
        <v>105</v>
      </c>
      <c r="I11" s="24">
        <f t="shared" si="0"/>
        <v>210</v>
      </c>
      <c r="J11" s="23">
        <v>70</v>
      </c>
      <c r="K11" s="24">
        <f t="shared" si="5"/>
        <v>280</v>
      </c>
      <c r="L11" s="24">
        <v>30</v>
      </c>
      <c r="M11" s="24">
        <v>0</v>
      </c>
      <c r="N11" s="41">
        <v>9000</v>
      </c>
      <c r="O11" s="44">
        <v>9205</v>
      </c>
      <c r="P11" s="24">
        <f>'1C'!E28</f>
        <v>184.1</v>
      </c>
      <c r="Q11" s="24">
        <f t="shared" si="1"/>
        <v>18699.099999999999</v>
      </c>
      <c r="R11" s="24">
        <v>0</v>
      </c>
      <c r="S11" s="24">
        <f t="shared" si="2"/>
        <v>18699.099999999999</v>
      </c>
      <c r="T11" s="24"/>
      <c r="U11" s="23"/>
      <c r="V11" s="23">
        <v>9</v>
      </c>
      <c r="W11" s="24">
        <v>11640</v>
      </c>
      <c r="X11" s="29">
        <f t="shared" si="3"/>
        <v>-7059.0999999999985</v>
      </c>
      <c r="Y11" s="23"/>
    </row>
    <row r="12" spans="1:255" s="21" customFormat="1" x14ac:dyDescent="0.5">
      <c r="A12" s="36" t="s">
        <v>74</v>
      </c>
      <c r="B12" s="21">
        <v>10</v>
      </c>
      <c r="C12" s="23" t="s">
        <v>83</v>
      </c>
      <c r="D12" s="42">
        <f t="shared" si="6"/>
        <v>46023</v>
      </c>
      <c r="E12" s="46">
        <v>258</v>
      </c>
      <c r="F12" s="46">
        <v>258</v>
      </c>
      <c r="G12" s="23">
        <f t="shared" si="4"/>
        <v>0</v>
      </c>
      <c r="H12" s="23">
        <v>105</v>
      </c>
      <c r="I12" s="24">
        <f t="shared" si="0"/>
        <v>0</v>
      </c>
      <c r="J12" s="23">
        <v>70</v>
      </c>
      <c r="K12" s="24">
        <f t="shared" si="5"/>
        <v>70</v>
      </c>
      <c r="L12" s="24">
        <v>30</v>
      </c>
      <c r="M12" s="24">
        <v>0</v>
      </c>
      <c r="N12" s="41">
        <v>9500</v>
      </c>
      <c r="O12" s="44">
        <v>74</v>
      </c>
      <c r="P12" s="24">
        <f>'2C'!E28</f>
        <v>1.48</v>
      </c>
      <c r="Q12" s="24">
        <f t="shared" si="1"/>
        <v>9675.48</v>
      </c>
      <c r="R12" s="24">
        <v>0</v>
      </c>
      <c r="S12" s="24">
        <f t="shared" si="2"/>
        <v>9675.48</v>
      </c>
      <c r="T12" s="24"/>
      <c r="U12" s="23"/>
      <c r="V12" s="23">
        <v>10</v>
      </c>
      <c r="W12" s="24">
        <v>11860</v>
      </c>
      <c r="X12" s="29">
        <f t="shared" si="3"/>
        <v>2184.5200000000004</v>
      </c>
      <c r="Y12" s="23"/>
    </row>
    <row r="13" spans="1:255" x14ac:dyDescent="0.5">
      <c r="A13" s="36" t="s">
        <v>112</v>
      </c>
      <c r="B13" s="21">
        <v>11</v>
      </c>
      <c r="C13" s="23" t="s">
        <v>84</v>
      </c>
      <c r="D13" s="42">
        <f t="shared" si="6"/>
        <v>46023</v>
      </c>
      <c r="E13" s="46">
        <v>148</v>
      </c>
      <c r="F13" s="46">
        <v>149</v>
      </c>
      <c r="G13" s="23">
        <f t="shared" si="4"/>
        <v>1</v>
      </c>
      <c r="H13" s="23">
        <v>105</v>
      </c>
      <c r="I13" s="24">
        <f t="shared" si="0"/>
        <v>105</v>
      </c>
      <c r="J13" s="23">
        <v>70</v>
      </c>
      <c r="K13" s="24">
        <f t="shared" si="5"/>
        <v>175</v>
      </c>
      <c r="L13" s="24">
        <v>30</v>
      </c>
      <c r="M13" s="24">
        <v>0</v>
      </c>
      <c r="N13" s="41">
        <v>7000</v>
      </c>
      <c r="O13" s="44">
        <v>205</v>
      </c>
      <c r="P13" s="24">
        <f>'3C'!E28</f>
        <v>4.0999999999999996</v>
      </c>
      <c r="Q13" s="24">
        <f t="shared" si="1"/>
        <v>7414.1</v>
      </c>
      <c r="R13" s="24">
        <v>0</v>
      </c>
      <c r="S13" s="24">
        <f t="shared" si="2"/>
        <v>7414.1</v>
      </c>
      <c r="T13" s="24"/>
      <c r="U13" s="23"/>
      <c r="V13" s="23">
        <v>11</v>
      </c>
      <c r="W13" s="24">
        <v>11360</v>
      </c>
      <c r="X13" s="29">
        <f t="shared" si="3"/>
        <v>3945.8999999999996</v>
      </c>
      <c r="Y13" s="23"/>
    </row>
    <row r="14" spans="1:255" s="43" customFormat="1" x14ac:dyDescent="0.5">
      <c r="A14" s="36" t="s">
        <v>25</v>
      </c>
      <c r="B14" s="21"/>
      <c r="C14" s="21"/>
      <c r="D14" s="21"/>
      <c r="E14" s="21"/>
      <c r="F14" s="21"/>
      <c r="G14" s="21">
        <f>SUM(G3:G13)</f>
        <v>10</v>
      </c>
      <c r="H14" s="21"/>
      <c r="I14" s="21"/>
      <c r="J14" s="21"/>
      <c r="K14" s="21"/>
      <c r="L14" s="21"/>
      <c r="M14" s="21"/>
      <c r="N14" s="41">
        <f>SUM(N3:N13)</f>
        <v>72500</v>
      </c>
      <c r="O14" s="45"/>
      <c r="P14" s="24"/>
      <c r="Q14" s="24">
        <f>SUM(Q3:Q13)</f>
        <v>128187.76</v>
      </c>
      <c r="R14" s="24"/>
      <c r="S14" s="24"/>
      <c r="T14" s="24"/>
      <c r="U14" s="23"/>
      <c r="V14" s="23"/>
      <c r="W14" s="24"/>
      <c r="X14" s="29"/>
      <c r="Y14" s="23"/>
    </row>
    <row r="15" spans="1:255" x14ac:dyDescent="0.5">
      <c r="A15" s="23"/>
      <c r="B15" s="23"/>
      <c r="C15" s="23"/>
      <c r="D15" s="23"/>
      <c r="E15" s="23"/>
      <c r="F15" s="23"/>
      <c r="G15" s="23"/>
      <c r="H15" s="29"/>
      <c r="I15" s="24"/>
      <c r="J15" s="24"/>
      <c r="K15" s="23"/>
      <c r="L15" s="23"/>
      <c r="M15" s="23"/>
      <c r="N15" s="23"/>
      <c r="O15" s="23"/>
      <c r="P15" s="23"/>
      <c r="Q15" s="29"/>
      <c r="R15" s="26"/>
      <c r="S15" s="23"/>
      <c r="T15" s="23"/>
      <c r="U15" s="23"/>
      <c r="V15" s="24"/>
      <c r="W15" s="24"/>
      <c r="X15" s="23"/>
      <c r="Y15" s="23"/>
    </row>
    <row r="16" spans="1:255" x14ac:dyDescent="0.5">
      <c r="A16" s="23"/>
      <c r="B16" s="23"/>
      <c r="C16" s="23"/>
      <c r="D16" s="23"/>
      <c r="E16" s="23"/>
      <c r="F16" s="23"/>
      <c r="G16" s="23"/>
      <c r="H16" s="23"/>
      <c r="I16" s="24"/>
      <c r="J16" s="23"/>
      <c r="K16" s="23"/>
      <c r="L16" s="23"/>
      <c r="M16" s="23"/>
      <c r="N16" s="23"/>
      <c r="O16" s="23"/>
      <c r="P16" s="23"/>
      <c r="Q16" s="23"/>
      <c r="R16" s="26"/>
      <c r="S16" s="23"/>
      <c r="T16" s="23"/>
      <c r="U16" s="23"/>
      <c r="V16" s="24"/>
      <c r="W16" s="24"/>
      <c r="X16" s="23"/>
      <c r="Y16" s="23"/>
    </row>
    <row r="17" spans="1:25" x14ac:dyDescent="0.5">
      <c r="A17" s="23"/>
      <c r="B17" s="23"/>
      <c r="C17" s="23"/>
      <c r="D17" s="23"/>
      <c r="E17" s="23"/>
      <c r="F17" s="23"/>
      <c r="G17" s="29"/>
      <c r="H17" s="29"/>
      <c r="I17" s="24"/>
      <c r="J17" s="23"/>
      <c r="K17" s="23"/>
      <c r="L17" s="23"/>
      <c r="M17" s="23"/>
      <c r="N17" s="23"/>
      <c r="O17" s="23"/>
      <c r="P17" s="23"/>
      <c r="Q17" s="23"/>
      <c r="R17" s="26"/>
      <c r="S17" s="23"/>
      <c r="T17" s="23"/>
      <c r="U17" s="23"/>
      <c r="V17" s="24"/>
      <c r="W17" s="24"/>
      <c r="X17" s="23"/>
      <c r="Y17" s="23"/>
    </row>
    <row r="18" spans="1:25" x14ac:dyDescent="0.5">
      <c r="G18" s="30"/>
      <c r="V18" s="28"/>
    </row>
    <row r="19" spans="1:25" x14ac:dyDescent="0.5">
      <c r="G19" s="30"/>
      <c r="V19" s="22"/>
    </row>
    <row r="20" spans="1:25" x14ac:dyDescent="0.5">
      <c r="H20" s="30"/>
      <c r="U20" s="22"/>
      <c r="V20" s="22"/>
    </row>
    <row r="21" spans="1:25" x14ac:dyDescent="0.5">
      <c r="U21" s="22"/>
      <c r="V21" s="30"/>
    </row>
    <row r="22" spans="1:25" x14ac:dyDescent="0.5">
      <c r="G22" s="30"/>
      <c r="H22" s="30"/>
      <c r="U22" s="22"/>
      <c r="V22" s="22"/>
    </row>
    <row r="23" spans="1:25" x14ac:dyDescent="0.5">
      <c r="M23" s="31"/>
      <c r="U23" s="22"/>
      <c r="V23" s="30"/>
    </row>
    <row r="24" spans="1:25" x14ac:dyDescent="0.5">
      <c r="U24" s="22"/>
    </row>
    <row r="25" spans="1:25" x14ac:dyDescent="0.5">
      <c r="U25" s="22"/>
      <c r="V25" s="30"/>
    </row>
    <row r="26" spans="1:25" x14ac:dyDescent="0.5">
      <c r="U26" s="22"/>
      <c r="V26" s="22"/>
    </row>
    <row r="27" spans="1:25" x14ac:dyDescent="0.5">
      <c r="U27" s="22"/>
      <c r="V27" s="22"/>
    </row>
    <row r="28" spans="1:25" x14ac:dyDescent="0.5">
      <c r="U28" s="30"/>
      <c r="V28" s="22"/>
    </row>
    <row r="29" spans="1:25" x14ac:dyDescent="0.5">
      <c r="V29" s="22"/>
    </row>
    <row r="30" spans="1:25" x14ac:dyDescent="0.5">
      <c r="V30" s="22"/>
    </row>
    <row r="31" spans="1:25" x14ac:dyDescent="0.5">
      <c r="Q31" s="32"/>
    </row>
    <row r="32" spans="1:25" x14ac:dyDescent="0.5">
      <c r="Q32" s="32"/>
    </row>
    <row r="33" spans="17:17" x14ac:dyDescent="0.5">
      <c r="Q33" s="32"/>
    </row>
    <row r="34" spans="17:17" s="21" customFormat="1" x14ac:dyDescent="0.5">
      <c r="Q34" s="32"/>
    </row>
    <row r="35" spans="17:17" s="21" customFormat="1" x14ac:dyDescent="0.5">
      <c r="Q35" s="32"/>
    </row>
    <row r="36" spans="17:17" s="21" customFormat="1" x14ac:dyDescent="0.5">
      <c r="Q36" s="32"/>
    </row>
  </sheetData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&amp;C&amp;F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6714-FE3F-4C71-A2D5-B5B25B8F848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L16:M22"/>
  <sheetViews>
    <sheetView workbookViewId="0">
      <selection activeCell="D12" sqref="D12"/>
    </sheetView>
  </sheetViews>
  <sheetFormatPr defaultColWidth="9" defaultRowHeight="14.5" x14ac:dyDescent="0.35"/>
  <sheetData>
    <row r="16" spans="12:12" x14ac:dyDescent="0.35">
      <c r="L16">
        <v>101456</v>
      </c>
    </row>
    <row r="17" spans="12:13" x14ac:dyDescent="0.35">
      <c r="L17">
        <v>21</v>
      </c>
    </row>
    <row r="18" spans="12:13" x14ac:dyDescent="0.35">
      <c r="L18">
        <v>1364</v>
      </c>
    </row>
    <row r="19" spans="12:13" x14ac:dyDescent="0.35">
      <c r="L19">
        <v>81411</v>
      </c>
      <c r="M19" t="s">
        <v>65</v>
      </c>
    </row>
    <row r="21" spans="12:13" x14ac:dyDescent="0.35">
      <c r="L21">
        <f>L16-L19</f>
        <v>20045</v>
      </c>
    </row>
    <row r="22" spans="12:13" x14ac:dyDescent="0.35">
      <c r="L22">
        <f>L19-55000</f>
        <v>26411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E1:K45"/>
  <sheetViews>
    <sheetView workbookViewId="0">
      <selection activeCell="J2" sqref="J2"/>
    </sheetView>
  </sheetViews>
  <sheetFormatPr defaultColWidth="9" defaultRowHeight="14.5" x14ac:dyDescent="0.35"/>
  <cols>
    <col min="1" max="4" width="10" customWidth="1"/>
    <col min="5" max="5" width="11.54296875" style="33" customWidth="1"/>
    <col min="6" max="8" width="10" customWidth="1"/>
    <col min="9" max="9" width="10.54296875" style="33" customWidth="1"/>
    <col min="10" max="11" width="9.1796875" style="33" customWidth="1"/>
    <col min="12" max="256" width="10" customWidth="1"/>
  </cols>
  <sheetData>
    <row r="1" spans="9:11" x14ac:dyDescent="0.35">
      <c r="I1" s="33" t="s">
        <v>67</v>
      </c>
      <c r="J1" s="33" t="s">
        <v>68</v>
      </c>
      <c r="K1" s="33" t="s">
        <v>69</v>
      </c>
    </row>
    <row r="2" spans="9:11" x14ac:dyDescent="0.35">
      <c r="I2" s="33">
        <v>8300</v>
      </c>
      <c r="J2" s="33">
        <v>21000</v>
      </c>
      <c r="K2" s="33">
        <v>9962</v>
      </c>
    </row>
    <row r="3" spans="9:11" x14ac:dyDescent="0.35">
      <c r="I3" s="33">
        <v>9608</v>
      </c>
      <c r="J3" s="33">
        <v>9962</v>
      </c>
      <c r="K3" s="33">
        <v>10623</v>
      </c>
    </row>
    <row r="4" spans="9:11" x14ac:dyDescent="0.35">
      <c r="I4" s="33">
        <v>9608</v>
      </c>
      <c r="J4" s="33">
        <v>11039</v>
      </c>
      <c r="K4" s="33">
        <v>8510</v>
      </c>
    </row>
    <row r="5" spans="9:11" x14ac:dyDescent="0.35">
      <c r="I5" s="33">
        <v>7525</v>
      </c>
      <c r="J5" s="33">
        <v>10117</v>
      </c>
      <c r="K5" s="33">
        <v>10100</v>
      </c>
    </row>
    <row r="6" spans="9:11" x14ac:dyDescent="0.35">
      <c r="I6" s="33">
        <v>11000</v>
      </c>
      <c r="J6" s="33">
        <v>10778</v>
      </c>
    </row>
    <row r="7" spans="9:11" x14ac:dyDescent="0.35">
      <c r="I7" s="33">
        <v>8985</v>
      </c>
      <c r="J7" s="33">
        <v>10750</v>
      </c>
    </row>
    <row r="8" spans="9:11" x14ac:dyDescent="0.35">
      <c r="I8" s="33">
        <v>7857</v>
      </c>
      <c r="J8" s="33">
        <v>8510</v>
      </c>
    </row>
    <row r="9" spans="9:11" x14ac:dyDescent="0.35">
      <c r="I9" s="33">
        <v>6000</v>
      </c>
      <c r="J9" s="33">
        <v>11230</v>
      </c>
    </row>
    <row r="10" spans="9:11" x14ac:dyDescent="0.35">
      <c r="I10" s="33">
        <v>9005</v>
      </c>
      <c r="J10" s="33">
        <v>8500</v>
      </c>
    </row>
    <row r="11" spans="9:11" x14ac:dyDescent="0.35">
      <c r="I11" s="33">
        <v>10665</v>
      </c>
      <c r="J11" s="33">
        <v>10590</v>
      </c>
    </row>
    <row r="12" spans="9:11" x14ac:dyDescent="0.35">
      <c r="I12" s="33">
        <v>9335</v>
      </c>
      <c r="J12" s="33">
        <v>10400</v>
      </c>
    </row>
    <row r="13" spans="9:11" x14ac:dyDescent="0.35">
      <c r="I13" s="33">
        <v>8040</v>
      </c>
      <c r="J13" s="33">
        <v>10000</v>
      </c>
    </row>
    <row r="14" spans="9:11" x14ac:dyDescent="0.35">
      <c r="I14" s="33">
        <v>8000</v>
      </c>
      <c r="J14" s="33">
        <v>10840</v>
      </c>
    </row>
    <row r="15" spans="9:11" x14ac:dyDescent="0.35">
      <c r="I15" s="33">
        <v>10560</v>
      </c>
      <c r="J15" s="33">
        <v>10200</v>
      </c>
      <c r="K15" s="33">
        <v>11200</v>
      </c>
    </row>
    <row r="16" spans="9:11" x14ac:dyDescent="0.35">
      <c r="I16" s="33">
        <v>11000</v>
      </c>
      <c r="J16" s="33">
        <v>10225</v>
      </c>
      <c r="K16" s="33">
        <v>11360</v>
      </c>
    </row>
    <row r="17" spans="9:11" x14ac:dyDescent="0.35">
      <c r="I17" s="33">
        <v>9421</v>
      </c>
      <c r="J17" s="33">
        <v>9000</v>
      </c>
      <c r="K17" s="33">
        <v>9787</v>
      </c>
    </row>
    <row r="18" spans="9:11" x14ac:dyDescent="0.35">
      <c r="I18" s="33">
        <v>10000</v>
      </c>
      <c r="J18" s="33">
        <v>9945</v>
      </c>
      <c r="K18" s="33">
        <v>9130</v>
      </c>
    </row>
    <row r="19" spans="9:11" x14ac:dyDescent="0.35">
      <c r="I19" s="33">
        <v>10700</v>
      </c>
      <c r="J19" s="33">
        <v>10000</v>
      </c>
      <c r="K19" s="33">
        <v>10250</v>
      </c>
    </row>
    <row r="20" spans="9:11" x14ac:dyDescent="0.35">
      <c r="I20" s="33">
        <v>10055</v>
      </c>
      <c r="J20" s="33">
        <v>5000</v>
      </c>
      <c r="K20" s="33">
        <v>10740</v>
      </c>
    </row>
    <row r="21" spans="9:11" x14ac:dyDescent="0.35">
      <c r="I21" s="33">
        <v>10200</v>
      </c>
      <c r="J21" s="33">
        <v>8900</v>
      </c>
      <c r="K21" s="33">
        <v>10910</v>
      </c>
    </row>
    <row r="22" spans="9:11" x14ac:dyDescent="0.35">
      <c r="I22" s="33">
        <v>1977</v>
      </c>
      <c r="J22" s="33">
        <v>9962</v>
      </c>
      <c r="K22" s="33">
        <v>9000</v>
      </c>
    </row>
    <row r="23" spans="9:11" x14ac:dyDescent="0.35">
      <c r="I23" s="33">
        <v>10155</v>
      </c>
      <c r="J23" s="33">
        <v>10583</v>
      </c>
      <c r="K23" s="33">
        <v>10353</v>
      </c>
    </row>
    <row r="24" spans="9:11" x14ac:dyDescent="0.35">
      <c r="I24" s="33">
        <v>10000</v>
      </c>
      <c r="J24" s="33">
        <v>11200</v>
      </c>
      <c r="K24" s="33">
        <v>10910</v>
      </c>
    </row>
    <row r="25" spans="9:11" x14ac:dyDescent="0.35">
      <c r="I25" s="33">
        <v>8000</v>
      </c>
      <c r="J25" s="33">
        <v>9930</v>
      </c>
      <c r="K25" s="33">
        <v>8930</v>
      </c>
    </row>
    <row r="26" spans="9:11" x14ac:dyDescent="0.35">
      <c r="I26" s="33">
        <v>9925</v>
      </c>
      <c r="J26" s="33">
        <v>8662</v>
      </c>
      <c r="K26" s="33">
        <v>1200</v>
      </c>
    </row>
    <row r="27" spans="9:11" x14ac:dyDescent="0.35">
      <c r="I27" s="33">
        <v>9840</v>
      </c>
      <c r="J27" s="33">
        <v>11300</v>
      </c>
      <c r="K27" s="33">
        <v>8770</v>
      </c>
    </row>
    <row r="28" spans="9:11" x14ac:dyDescent="0.35">
      <c r="I28" s="33">
        <v>8755</v>
      </c>
      <c r="J28" s="33">
        <v>2200</v>
      </c>
      <c r="K28" s="33">
        <v>10009</v>
      </c>
    </row>
    <row r="29" spans="9:11" x14ac:dyDescent="0.35">
      <c r="I29" s="33">
        <v>3000</v>
      </c>
      <c r="J29" s="33">
        <v>5200</v>
      </c>
      <c r="K29" s="33">
        <v>10300</v>
      </c>
    </row>
    <row r="30" spans="9:11" x14ac:dyDescent="0.35">
      <c r="I30" s="33">
        <v>8000</v>
      </c>
      <c r="J30" s="33">
        <v>10910</v>
      </c>
      <c r="K30" s="33">
        <v>8930</v>
      </c>
    </row>
    <row r="31" spans="9:11" x14ac:dyDescent="0.35">
      <c r="I31" s="33">
        <v>10000</v>
      </c>
      <c r="J31" s="33">
        <v>9400</v>
      </c>
      <c r="K31" s="33">
        <v>11230</v>
      </c>
    </row>
    <row r="32" spans="9:11" x14ac:dyDescent="0.35">
      <c r="I32" s="33">
        <v>10000</v>
      </c>
      <c r="J32" s="33">
        <v>10860</v>
      </c>
      <c r="K32" s="33">
        <v>6000</v>
      </c>
    </row>
    <row r="33" spans="5:11" x14ac:dyDescent="0.35">
      <c r="I33" s="33">
        <v>5520</v>
      </c>
      <c r="K33" s="33">
        <v>8500</v>
      </c>
    </row>
    <row r="34" spans="5:11" x14ac:dyDescent="0.35">
      <c r="I34" s="33">
        <v>9805</v>
      </c>
      <c r="K34" s="33">
        <v>10430</v>
      </c>
    </row>
    <row r="35" spans="5:11" x14ac:dyDescent="0.35">
      <c r="I35" s="33">
        <v>20000</v>
      </c>
      <c r="K35" s="33">
        <v>10000</v>
      </c>
    </row>
    <row r="36" spans="5:11" x14ac:dyDescent="0.35">
      <c r="E36" s="33">
        <v>119472</v>
      </c>
      <c r="I36" s="33">
        <v>7000</v>
      </c>
      <c r="K36" s="33">
        <v>10000</v>
      </c>
    </row>
    <row r="37" spans="5:11" x14ac:dyDescent="0.35">
      <c r="E37" s="33">
        <v>64399</v>
      </c>
      <c r="I37" s="33">
        <v>5000</v>
      </c>
      <c r="K37" s="33">
        <v>11000</v>
      </c>
    </row>
    <row r="38" spans="5:11" x14ac:dyDescent="0.35">
      <c r="E38" s="33">
        <f>SUM(E36:E37)</f>
        <v>183871</v>
      </c>
      <c r="I38" s="33">
        <v>20000</v>
      </c>
      <c r="K38" s="33">
        <v>8950</v>
      </c>
    </row>
    <row r="39" spans="5:11" x14ac:dyDescent="0.35">
      <c r="I39" s="33">
        <v>13000</v>
      </c>
      <c r="K39" s="33">
        <v>11230</v>
      </c>
    </row>
    <row r="40" spans="5:11" x14ac:dyDescent="0.35">
      <c r="I40" s="33">
        <v>10910</v>
      </c>
      <c r="K40" s="33">
        <v>400</v>
      </c>
    </row>
    <row r="41" spans="5:11" x14ac:dyDescent="0.35">
      <c r="K41" s="33">
        <v>7800</v>
      </c>
    </row>
    <row r="42" spans="5:11" x14ac:dyDescent="0.35">
      <c r="K42" s="33">
        <v>1000</v>
      </c>
    </row>
    <row r="43" spans="5:11" x14ac:dyDescent="0.35">
      <c r="K43" s="33">
        <v>8000</v>
      </c>
    </row>
    <row r="44" spans="5:11" x14ac:dyDescent="0.35">
      <c r="K44" s="33">
        <v>6294</v>
      </c>
    </row>
    <row r="45" spans="5:11" x14ac:dyDescent="0.35">
      <c r="I45" s="34">
        <f>SUM(I2:I44)</f>
        <v>366751</v>
      </c>
      <c r="J45" s="34">
        <f>SUM(J2:J44)</f>
        <v>307193</v>
      </c>
      <c r="K45" s="34">
        <f>SUM(K2:K44)</f>
        <v>301808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GFA</vt:lpstr>
      <vt:lpstr>GFB</vt:lpstr>
      <vt:lpstr>1A</vt:lpstr>
      <vt:lpstr>2A</vt:lpstr>
      <vt:lpstr>3A</vt:lpstr>
      <vt:lpstr>1B</vt:lpstr>
      <vt:lpstr>2B</vt:lpstr>
      <vt:lpstr>3B</vt:lpstr>
      <vt:lpstr>1C</vt:lpstr>
      <vt:lpstr>2C</vt:lpstr>
      <vt:lpstr>3C</vt:lpstr>
      <vt:lpstr>meter</vt:lpstr>
      <vt:lpstr>Sheet3</vt:lpstr>
      <vt:lpstr>Sheet1</vt:lpstr>
      <vt:lpstr>Sheet2</vt:lpstr>
      <vt:lpstr>'1A'!Print_Area</vt:lpstr>
      <vt:lpstr>'1B'!Print_Area</vt:lpstr>
      <vt:lpstr>'1C'!Print_Area</vt:lpstr>
      <vt:lpstr>'2A'!Print_Area</vt:lpstr>
      <vt:lpstr>'2B'!Print_Area</vt:lpstr>
      <vt:lpstr>'2C'!Print_Area</vt:lpstr>
      <vt:lpstr>'3A'!Print_Area</vt:lpstr>
      <vt:lpstr>'3B'!Print_Area</vt:lpstr>
      <vt:lpstr>'3C'!Print_Area</vt:lpstr>
      <vt:lpstr>GFA!Print_Area</vt:lpstr>
      <vt:lpstr>GFB!Print_Area</vt:lpstr>
      <vt:lpstr>meter!Print_Area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samwel ngara</cp:lastModifiedBy>
  <cp:lastPrinted>2025-12-06T15:49:16Z</cp:lastPrinted>
  <dcterms:created xsi:type="dcterms:W3CDTF">2012-07-29T07:22:22Z</dcterms:created>
  <dcterms:modified xsi:type="dcterms:W3CDTF">2026-01-30T19:28:37Z</dcterms:modified>
</cp:coreProperties>
</file>