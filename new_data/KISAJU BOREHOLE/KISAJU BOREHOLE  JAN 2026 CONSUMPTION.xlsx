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KISAJU BOREHOLE\"/>
    </mc:Choice>
  </mc:AlternateContent>
  <xr:revisionPtr revIDLastSave="0" documentId="8_{CDC8DCA6-782A-44B5-A514-A7A5BF883384}" xr6:coauthVersionLast="47" xr6:coauthVersionMax="47" xr10:uidLastSave="{00000000-0000-0000-0000-000000000000}"/>
  <bookViews>
    <workbookView xWindow="-110" yWindow="-110" windowWidth="19420" windowHeight="11020" tabRatio="1000" firstSheet="13" activeTab="25" xr2:uid="{00000000-000D-0000-FFFF-FFFF00000000}"/>
  </bookViews>
  <sheets>
    <sheet name="FROM BOREHOLE" sheetId="1" r:id="rId1"/>
    <sheet name="OUT BOREHOLE" sheetId="2" r:id="rId2"/>
    <sheet name="NEW OUT B" sheetId="3" r:id="rId3"/>
    <sheet name="LORRY" sheetId="4" r:id="rId4"/>
    <sheet name="PASSION" sheetId="5" r:id="rId5"/>
    <sheet name="BLOCK A" sheetId="6" r:id="rId6"/>
    <sheet name="BLOCK B" sheetId="7" r:id="rId7"/>
    <sheet name="NEW BLOCK" sheetId="8" r:id="rId8"/>
    <sheet name="HOUSE JOHN" sheetId="9" r:id="rId9"/>
    <sheet name="KAYAVA" sheetId="10" r:id="rId10"/>
    <sheet name="VINCENT" sheetId="11" r:id="rId11"/>
    <sheet name="WAMALWA" sheetId="12" r:id="rId12"/>
    <sheet name="MWITA" sheetId="13" r:id="rId13"/>
    <sheet name="NYARANDI" sheetId="14" r:id="rId14"/>
    <sheet name="NAMBOKAH" sheetId="15" r:id="rId15"/>
    <sheet name="KIMANI" sheetId="16" r:id="rId16"/>
    <sheet name="AGNES" sheetId="17" r:id="rId17"/>
    <sheet name="NANCY" sheetId="18" r:id="rId18"/>
    <sheet name="KURGAT" sheetId="19" r:id="rId19"/>
    <sheet name="JANE " sheetId="20" r:id="rId20"/>
    <sheet name="BRIAN" sheetId="21" r:id="rId21"/>
    <sheet name="UKA" sheetId="22" r:id="rId22"/>
    <sheet name="DANSTON" sheetId="23" r:id="rId23"/>
    <sheet name="ERICK" sheetId="24" r:id="rId24"/>
    <sheet name="PAMELA" sheetId="25" r:id="rId25"/>
    <sheet name="BISMARK" sheetId="30" r:id="rId26"/>
    <sheet name="PATRICK" sheetId="31" r:id="rId27"/>
    <sheet name="JACKY" sheetId="32" r:id="rId28"/>
    <sheet name="NAOMI" sheetId="33" r:id="rId29"/>
    <sheet name="JOSEPH" sheetId="34" r:id="rId30"/>
    <sheet name="meter" sheetId="37" r:id="rId31"/>
    <sheet name="N6" sheetId="35" r:id="rId32"/>
    <sheet name="N7" sheetId="36" r:id="rId33"/>
    <sheet name="Sheet3" sheetId="40" r:id="rId34"/>
    <sheet name="Sheet4" sheetId="41" r:id="rId35"/>
    <sheet name="Sheet1" sheetId="38" state="hidden" r:id="rId36"/>
    <sheet name="Sheet2" sheetId="39" state="hidden" r:id="rId37"/>
  </sheets>
  <definedNames>
    <definedName name="_xlnm.Print_Area" localSheetId="16">AGNES!$A$1:$K$53</definedName>
    <definedName name="_xlnm.Print_Area" localSheetId="25">BISMARK!$A$1:$J$53</definedName>
    <definedName name="_xlnm.Print_Area" localSheetId="5">'BLOCK A'!$A$1:$I$53</definedName>
    <definedName name="_xlnm.Print_Area" localSheetId="6">'BLOCK B'!$A$1:$H$54</definedName>
    <definedName name="_xlnm.Print_Area" localSheetId="20">BRIAN!$A$2:$K$53</definedName>
    <definedName name="_xlnm.Print_Area" localSheetId="22">DANSTON!$A$1:$K$53</definedName>
    <definedName name="_xlnm.Print_Area" localSheetId="23">ERICK!$A$1:$I$53</definedName>
    <definedName name="_xlnm.Print_Area" localSheetId="0">'FROM BOREHOLE'!$A$1:$H$55</definedName>
    <definedName name="_xlnm.Print_Area" localSheetId="8">'HOUSE JOHN'!$A$1:$H$53</definedName>
    <definedName name="_xlnm.Print_Area" localSheetId="27">JACKY!$A$1:$I$52</definedName>
    <definedName name="_xlnm.Print_Area" localSheetId="19">'JANE '!$A$1:$K$53</definedName>
    <definedName name="_xlnm.Print_Area" localSheetId="29">JOSEPH!$A$1:$K$53</definedName>
    <definedName name="_xlnm.Print_Area" localSheetId="9">KAYAVA!$A$1:$I$56</definedName>
    <definedName name="_xlnm.Print_Area" localSheetId="15">KIMANI!$A$1:$L$53</definedName>
    <definedName name="_xlnm.Print_Area" localSheetId="18">KURGAT!$A$1:$H$53</definedName>
    <definedName name="_xlnm.Print_Area" localSheetId="3">LORRY!$A$1:$J$53</definedName>
    <definedName name="_xlnm.Print_Area" localSheetId="30">meter!$A$1:$O$38</definedName>
    <definedName name="_xlnm.Print_Area" localSheetId="12">MWITA!$A$1:$H$53</definedName>
    <definedName name="_xlnm.Print_Area" localSheetId="31">'N6'!$A$1:$I$53</definedName>
    <definedName name="_xlnm.Print_Area" localSheetId="32">'N7'!$A$1:$K$53</definedName>
    <definedName name="_xlnm.Print_Area" localSheetId="14">NAMBOKAH!$A$1:$J$53</definedName>
    <definedName name="_xlnm.Print_Area" localSheetId="17">NANCY!$A$1:$I$53</definedName>
    <definedName name="_xlnm.Print_Area" localSheetId="28">NAOMI!$A$1:$I$52</definedName>
    <definedName name="_xlnm.Print_Area" localSheetId="7">'NEW BLOCK'!$A$1:$I$53</definedName>
    <definedName name="_xlnm.Print_Area" localSheetId="2">'NEW OUT B'!$A$1:$H$54</definedName>
    <definedName name="_xlnm.Print_Area" localSheetId="13">NYARANDI!$A$1:$J$53</definedName>
    <definedName name="_xlnm.Print_Area" localSheetId="1">'OUT BOREHOLE'!$A$1:$G$53</definedName>
    <definedName name="_xlnm.Print_Area" localSheetId="24">PAMELA!$A$1:$I$53</definedName>
    <definedName name="_xlnm.Print_Area" localSheetId="4">PASSION!$A$1:$J$53</definedName>
    <definedName name="_xlnm.Print_Area" localSheetId="26">PATRICK!$A$1:$K$53</definedName>
    <definedName name="_xlnm.Print_Area" localSheetId="21">UKA!$A$1:$J$53</definedName>
    <definedName name="_xlnm.Print_Area" localSheetId="10">VINCENT!$A$1:$H$53</definedName>
    <definedName name="_xlnm.Print_Area" localSheetId="11">WAMALWA!$A$1:$J$53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37" l="1"/>
  <c r="F5" i="37"/>
  <c r="F6" i="37"/>
  <c r="F7" i="37"/>
  <c r="F8" i="37"/>
  <c r="F9" i="37"/>
  <c r="F10" i="37"/>
  <c r="F11" i="37"/>
  <c r="F12" i="37"/>
  <c r="F13" i="37"/>
  <c r="F14" i="37"/>
  <c r="F15" i="37"/>
  <c r="F16" i="37"/>
  <c r="F17" i="37"/>
  <c r="F18" i="37"/>
  <c r="F19" i="37"/>
  <c r="F20" i="37"/>
  <c r="F21" i="37"/>
  <c r="F22" i="37"/>
  <c r="F23" i="37"/>
  <c r="F24" i="37"/>
  <c r="F25" i="37"/>
  <c r="F26" i="37"/>
  <c r="F27" i="37"/>
  <c r="F28" i="37"/>
  <c r="F29" i="37"/>
  <c r="F30" i="37"/>
  <c r="F31" i="37"/>
  <c r="F32" i="37"/>
  <c r="F30" i="36"/>
  <c r="D16" i="34"/>
  <c r="B16" i="34"/>
  <c r="D16" i="33"/>
  <c r="B16" i="33"/>
  <c r="D16" i="32"/>
  <c r="B16" i="32"/>
  <c r="D16" i="31"/>
  <c r="B16" i="31"/>
  <c r="B16" i="30"/>
  <c r="D16" i="30"/>
  <c r="F3" i="37"/>
  <c r="F18" i="34"/>
  <c r="F18" i="32"/>
  <c r="F18" i="31"/>
  <c r="F18" i="30"/>
  <c r="F18" i="25"/>
  <c r="F18" i="24"/>
  <c r="F18" i="23"/>
  <c r="F18" i="22"/>
  <c r="F18" i="21"/>
  <c r="F18" i="20"/>
  <c r="F18" i="19"/>
  <c r="F18" i="18"/>
  <c r="F18" i="17"/>
  <c r="F18" i="16"/>
  <c r="F18" i="15"/>
  <c r="F18" i="14"/>
  <c r="F18" i="13"/>
  <c r="F18" i="12"/>
  <c r="E18" i="11"/>
  <c r="E18" i="10"/>
  <c r="E18" i="9"/>
  <c r="E18" i="8"/>
  <c r="E18" i="7"/>
  <c r="E18" i="6"/>
  <c r="E18" i="5"/>
  <c r="E18" i="4"/>
  <c r="E18" i="3"/>
  <c r="F18" i="2"/>
  <c r="E18" i="1"/>
  <c r="D6" i="34"/>
  <c r="D6" i="33"/>
  <c r="D6" i="32"/>
  <c r="D6" i="31"/>
  <c r="D6" i="25"/>
  <c r="C6" i="7"/>
  <c r="C6" i="1"/>
  <c r="B16" i="7" l="1"/>
  <c r="D6" i="35"/>
  <c r="J33" i="37" l="1"/>
  <c r="F18" i="33"/>
  <c r="B16" i="10"/>
  <c r="D10" i="36"/>
  <c r="D12" i="36"/>
  <c r="D10" i="35"/>
  <c r="D12" i="34"/>
  <c r="D10" i="34"/>
  <c r="D10" i="33"/>
  <c r="D10" i="32"/>
  <c r="D10" i="31"/>
  <c r="D10" i="30"/>
  <c r="D10" i="25"/>
  <c r="D10" i="24"/>
  <c r="D10" i="23"/>
  <c r="D10" i="22"/>
  <c r="D10" i="21"/>
  <c r="D10" i="20"/>
  <c r="D10" i="18"/>
  <c r="D10" i="17"/>
  <c r="D10" i="16"/>
  <c r="D10" i="15"/>
  <c r="D10" i="14"/>
  <c r="D10" i="13"/>
  <c r="C10" i="10"/>
  <c r="C10" i="9"/>
  <c r="C10" i="8"/>
  <c r="C10" i="7"/>
  <c r="C10" i="6"/>
  <c r="C10" i="5"/>
  <c r="C10" i="4"/>
  <c r="C10" i="3"/>
  <c r="D12" i="2"/>
  <c r="D10" i="2"/>
  <c r="D12" i="20"/>
  <c r="D12" i="19"/>
  <c r="D12" i="35"/>
  <c r="D16" i="35"/>
  <c r="D12" i="24"/>
  <c r="D12" i="22"/>
  <c r="D12" i="21"/>
  <c r="D12" i="16"/>
  <c r="D12" i="15"/>
  <c r="D12" i="14"/>
  <c r="D12" i="13"/>
  <c r="C5" i="37"/>
  <c r="C6" i="37" s="1"/>
  <c r="C7" i="37" s="1"/>
  <c r="C8" i="37" s="1"/>
  <c r="C9" i="37" s="1"/>
  <c r="C10" i="37" s="1"/>
  <c r="C11" i="37" s="1"/>
  <c r="C12" i="37" s="1"/>
  <c r="C13" i="37" s="1"/>
  <c r="C14" i="37" s="1"/>
  <c r="C15" i="37" s="1"/>
  <c r="C16" i="37" s="1"/>
  <c r="C17" i="37" s="1"/>
  <c r="C18" i="37" l="1"/>
  <c r="C19" i="37" s="1"/>
  <c r="C20" i="37" s="1"/>
  <c r="C21" i="37" s="1"/>
  <c r="C22" i="37" s="1"/>
  <c r="C23" i="37" s="1"/>
  <c r="C24" i="37" s="1"/>
  <c r="C25" i="37" s="1"/>
  <c r="C26" i="37" s="1"/>
  <c r="C27" i="37" s="1"/>
  <c r="C28" i="37" s="1"/>
  <c r="C29" i="37" s="1"/>
  <c r="C30" i="37" s="1"/>
  <c r="C31" i="37" s="1"/>
  <c r="C32" i="37" s="1"/>
  <c r="D16" i="22"/>
  <c r="B16" i="22"/>
  <c r="D16" i="25"/>
  <c r="B16" i="25"/>
  <c r="D16" i="24"/>
  <c r="B16" i="24"/>
  <c r="D16" i="23"/>
  <c r="D16" i="21"/>
  <c r="B16" i="21"/>
  <c r="D16" i="20"/>
  <c r="B16" i="20"/>
  <c r="D16" i="19"/>
  <c r="B16" i="19"/>
  <c r="D16" i="18"/>
  <c r="B16" i="18"/>
  <c r="D16" i="17"/>
  <c r="B16" i="17"/>
  <c r="D16" i="16"/>
  <c r="B16" i="16"/>
  <c r="D16" i="15"/>
  <c r="B16" i="15"/>
  <c r="D16" i="14"/>
  <c r="B16" i="14"/>
  <c r="D16" i="13"/>
  <c r="B16" i="13"/>
  <c r="D16" i="12"/>
  <c r="B16" i="12"/>
  <c r="C16" i="11"/>
  <c r="B16" i="11"/>
  <c r="C16" i="10"/>
  <c r="C16" i="9"/>
  <c r="B16" i="9"/>
  <c r="C16" i="8"/>
  <c r="B16" i="8"/>
  <c r="C16" i="7"/>
  <c r="C16" i="6"/>
  <c r="B16" i="6"/>
  <c r="C16" i="5"/>
  <c r="B16" i="5"/>
  <c r="C16" i="4"/>
  <c r="B16" i="4"/>
  <c r="C16" i="3"/>
  <c r="B16" i="3"/>
  <c r="D16" i="2"/>
  <c r="B16" i="2"/>
  <c r="C16" i="1"/>
  <c r="B16" i="1"/>
  <c r="F16" i="20" l="1"/>
  <c r="F16" i="22"/>
  <c r="E16" i="9"/>
  <c r="E16" i="3"/>
  <c r="H4" i="37"/>
  <c r="K4" i="37" s="1"/>
  <c r="H5" i="37"/>
  <c r="K5" i="37" s="1"/>
  <c r="H7" i="37"/>
  <c r="K7" i="37" s="1"/>
  <c r="H8" i="37"/>
  <c r="K8" i="37" s="1"/>
  <c r="H9" i="37"/>
  <c r="K9" i="37" s="1"/>
  <c r="H10" i="37"/>
  <c r="K10" i="37" s="1"/>
  <c r="H11" i="37"/>
  <c r="K11" i="37" s="1"/>
  <c r="H12" i="37"/>
  <c r="K12" i="37" s="1"/>
  <c r="H13" i="37"/>
  <c r="K13" i="37" s="1"/>
  <c r="H14" i="37"/>
  <c r="K14" i="37" s="1"/>
  <c r="H15" i="37"/>
  <c r="K15" i="37" s="1"/>
  <c r="H16" i="37"/>
  <c r="K16" i="37" s="1"/>
  <c r="H17" i="37"/>
  <c r="K17" i="37" s="1"/>
  <c r="H18" i="37"/>
  <c r="K18" i="37" s="1"/>
  <c r="H19" i="37"/>
  <c r="K19" i="37" s="1"/>
  <c r="H20" i="37"/>
  <c r="K20" i="37" s="1"/>
  <c r="H21" i="37"/>
  <c r="K21" i="37" s="1"/>
  <c r="H22" i="37"/>
  <c r="K22" i="37" s="1"/>
  <c r="H23" i="37"/>
  <c r="K23" i="37" s="1"/>
  <c r="H24" i="37"/>
  <c r="K24" i="37" s="1"/>
  <c r="H25" i="37"/>
  <c r="K25" i="37" s="1"/>
  <c r="H26" i="37"/>
  <c r="K26" i="37" s="1"/>
  <c r="H27" i="37"/>
  <c r="K27" i="37" s="1"/>
  <c r="H28" i="37"/>
  <c r="H29" i="37"/>
  <c r="H30" i="37"/>
  <c r="H31" i="37"/>
  <c r="H32" i="37"/>
  <c r="F20" i="35"/>
  <c r="H3" i="37"/>
  <c r="K45" i="39"/>
  <c r="J45" i="39"/>
  <c r="I45" i="39"/>
  <c r="E38" i="39"/>
  <c r="L22" i="38"/>
  <c r="L21" i="38"/>
  <c r="Q39" i="36"/>
  <c r="F32" i="36"/>
  <c r="D16" i="36"/>
  <c r="B16" i="36"/>
  <c r="D6" i="36"/>
  <c r="I4" i="36"/>
  <c r="B2" i="36"/>
  <c r="Q39" i="35"/>
  <c r="O39" i="35"/>
  <c r="N38" i="35"/>
  <c r="N37" i="35"/>
  <c r="N36" i="35"/>
  <c r="N35" i="35"/>
  <c r="N34" i="35"/>
  <c r="N33" i="35"/>
  <c r="N32" i="35"/>
  <c r="F32" i="35"/>
  <c r="N31" i="35"/>
  <c r="N30" i="35"/>
  <c r="N29" i="35"/>
  <c r="N28" i="35"/>
  <c r="N27" i="35"/>
  <c r="N26" i="35"/>
  <c r="N25" i="35"/>
  <c r="N24" i="35"/>
  <c r="N23" i="35"/>
  <c r="N22" i="35"/>
  <c r="N21" i="35"/>
  <c r="N20" i="35"/>
  <c r="N19" i="35"/>
  <c r="N18" i="35"/>
  <c r="N17" i="35"/>
  <c r="N16" i="35"/>
  <c r="B16" i="35"/>
  <c r="F16" i="35" s="1"/>
  <c r="N15" i="35"/>
  <c r="N14" i="35"/>
  <c r="N13" i="35"/>
  <c r="N12" i="35"/>
  <c r="N11" i="35"/>
  <c r="N10" i="35"/>
  <c r="N9" i="35"/>
  <c r="N8" i="35"/>
  <c r="N7" i="35"/>
  <c r="N6" i="35"/>
  <c r="N5" i="35"/>
  <c r="N4" i="35"/>
  <c r="J4" i="35"/>
  <c r="I4" i="35"/>
  <c r="N3" i="35"/>
  <c r="B2" i="35"/>
  <c r="Q39" i="34"/>
  <c r="O39" i="34"/>
  <c r="N38" i="34"/>
  <c r="N37" i="34"/>
  <c r="N36" i="34"/>
  <c r="N35" i="34"/>
  <c r="N34" i="34"/>
  <c r="N33" i="34"/>
  <c r="N32" i="34"/>
  <c r="F32" i="34"/>
  <c r="N31" i="34"/>
  <c r="N30" i="34"/>
  <c r="N29" i="34"/>
  <c r="N28" i="34"/>
  <c r="N27" i="34"/>
  <c r="N26" i="34"/>
  <c r="N25" i="34"/>
  <c r="N24" i="34"/>
  <c r="N23" i="34"/>
  <c r="N22" i="34"/>
  <c r="N21" i="34"/>
  <c r="N20" i="34"/>
  <c r="N19" i="34"/>
  <c r="N18" i="34"/>
  <c r="N17" i="34"/>
  <c r="N16" i="34"/>
  <c r="N15" i="34"/>
  <c r="N14" i="34"/>
  <c r="N13" i="34"/>
  <c r="N12" i="34"/>
  <c r="N11" i="34"/>
  <c r="N10" i="34"/>
  <c r="N9" i="34"/>
  <c r="N8" i="34"/>
  <c r="N7" i="34"/>
  <c r="N6" i="34"/>
  <c r="N5" i="34"/>
  <c r="N4" i="34"/>
  <c r="J4" i="34"/>
  <c r="I4" i="34"/>
  <c r="N3" i="34"/>
  <c r="B2" i="34"/>
  <c r="Q39" i="33"/>
  <c r="O39" i="33"/>
  <c r="N38" i="33"/>
  <c r="N37" i="33"/>
  <c r="N36" i="33"/>
  <c r="N35" i="33"/>
  <c r="N34" i="33"/>
  <c r="N33" i="33"/>
  <c r="N32" i="33"/>
  <c r="N31" i="33"/>
  <c r="N30" i="33"/>
  <c r="N29" i="33"/>
  <c r="N28" i="33"/>
  <c r="N27" i="33"/>
  <c r="N26" i="33"/>
  <c r="N25" i="33"/>
  <c r="N24" i="33"/>
  <c r="N23" i="33"/>
  <c r="N22" i="33"/>
  <c r="N21" i="33"/>
  <c r="N20" i="33"/>
  <c r="N19" i="33"/>
  <c r="N18" i="33"/>
  <c r="N17" i="33"/>
  <c r="N16" i="33"/>
  <c r="N15" i="33"/>
  <c r="N14" i="33"/>
  <c r="N13" i="33"/>
  <c r="N12" i="33"/>
  <c r="D12" i="33"/>
  <c r="N11" i="33"/>
  <c r="N10" i="33"/>
  <c r="N9" i="33"/>
  <c r="N8" i="33"/>
  <c r="N7" i="33"/>
  <c r="N6" i="33"/>
  <c r="N5" i="33"/>
  <c r="N4" i="33"/>
  <c r="J4" i="33"/>
  <c r="I4" i="33"/>
  <c r="N3" i="33"/>
  <c r="B2" i="33"/>
  <c r="Q39" i="32"/>
  <c r="O39" i="32"/>
  <c r="N38" i="32"/>
  <c r="N37" i="32"/>
  <c r="N36" i="32"/>
  <c r="N35" i="32"/>
  <c r="N34" i="32"/>
  <c r="N33" i="32"/>
  <c r="N32" i="32"/>
  <c r="F32" i="32"/>
  <c r="N31" i="32"/>
  <c r="N30" i="32"/>
  <c r="N29" i="32"/>
  <c r="N28" i="32"/>
  <c r="N27" i="32"/>
  <c r="N26" i="32"/>
  <c r="N25" i="32"/>
  <c r="N24" i="32"/>
  <c r="N23" i="32"/>
  <c r="N22" i="32"/>
  <c r="N21" i="32"/>
  <c r="N20" i="32"/>
  <c r="N19" i="32"/>
  <c r="N18" i="32"/>
  <c r="N17" i="32"/>
  <c r="N16" i="32"/>
  <c r="N15" i="32"/>
  <c r="N14" i="32"/>
  <c r="N13" i="32"/>
  <c r="N12" i="32"/>
  <c r="D12" i="32"/>
  <c r="N11" i="32"/>
  <c r="N10" i="32"/>
  <c r="N9" i="32"/>
  <c r="N8" i="32"/>
  <c r="N7" i="32"/>
  <c r="N6" i="32"/>
  <c r="N5" i="32"/>
  <c r="N4" i="32"/>
  <c r="J4" i="32"/>
  <c r="I4" i="32"/>
  <c r="N3" i="32"/>
  <c r="B2" i="32"/>
  <c r="Q39" i="31"/>
  <c r="O39" i="31"/>
  <c r="N38" i="31"/>
  <c r="N37" i="31"/>
  <c r="N36" i="31"/>
  <c r="N35" i="31"/>
  <c r="N34" i="31"/>
  <c r="N33" i="31"/>
  <c r="N32" i="31"/>
  <c r="F32" i="31"/>
  <c r="N31" i="31"/>
  <c r="N30" i="31"/>
  <c r="N29" i="31"/>
  <c r="N28" i="31"/>
  <c r="N27" i="31"/>
  <c r="N26" i="31"/>
  <c r="N25" i="31"/>
  <c r="N24" i="31"/>
  <c r="N23" i="31"/>
  <c r="N22" i="31"/>
  <c r="N21" i="31"/>
  <c r="N20" i="31"/>
  <c r="N19" i="31"/>
  <c r="N18" i="31"/>
  <c r="F28" i="31"/>
  <c r="N17" i="31"/>
  <c r="N16" i="31"/>
  <c r="N15" i="31"/>
  <c r="N14" i="31"/>
  <c r="N13" i="31"/>
  <c r="N12" i="31"/>
  <c r="D12" i="31"/>
  <c r="N11" i="31"/>
  <c r="N10" i="31"/>
  <c r="N9" i="31"/>
  <c r="N8" i="31"/>
  <c r="N7" i="31"/>
  <c r="N6" i="31"/>
  <c r="N5" i="31"/>
  <c r="N4" i="31"/>
  <c r="J4" i="31"/>
  <c r="I4" i="31"/>
  <c r="N3" i="31"/>
  <c r="B2" i="31"/>
  <c r="Q39" i="30"/>
  <c r="O39" i="30"/>
  <c r="N38" i="30"/>
  <c r="N37" i="30"/>
  <c r="N36" i="30"/>
  <c r="N35" i="30"/>
  <c r="N34" i="30"/>
  <c r="N33" i="30"/>
  <c r="N32" i="30"/>
  <c r="F32" i="30"/>
  <c r="N31" i="30"/>
  <c r="N30" i="30"/>
  <c r="N29" i="30"/>
  <c r="N28" i="30"/>
  <c r="N27" i="30"/>
  <c r="N26" i="30"/>
  <c r="N25" i="30"/>
  <c r="N24" i="30"/>
  <c r="N23" i="30"/>
  <c r="N22" i="30"/>
  <c r="N21" i="30"/>
  <c r="N20" i="30"/>
  <c r="N19" i="30"/>
  <c r="N18" i="30"/>
  <c r="N17" i="30"/>
  <c r="N16" i="30"/>
  <c r="N15" i="30"/>
  <c r="N14" i="30"/>
  <c r="N13" i="30"/>
  <c r="N12" i="30"/>
  <c r="D12" i="30"/>
  <c r="N11" i="30"/>
  <c r="N10" i="30"/>
  <c r="N9" i="30"/>
  <c r="N8" i="30"/>
  <c r="N7" i="30"/>
  <c r="N6" i="30"/>
  <c r="N5" i="30"/>
  <c r="N4" i="30"/>
  <c r="J4" i="30"/>
  <c r="I4" i="30"/>
  <c r="N3" i="30"/>
  <c r="B2" i="30"/>
  <c r="Q39" i="25"/>
  <c r="O39" i="25"/>
  <c r="N38" i="25"/>
  <c r="N37" i="25"/>
  <c r="N36" i="25"/>
  <c r="N35" i="25"/>
  <c r="N34" i="25"/>
  <c r="N33" i="25"/>
  <c r="N32" i="25"/>
  <c r="F32" i="25"/>
  <c r="N31" i="25"/>
  <c r="N30" i="25"/>
  <c r="N29" i="25"/>
  <c r="N28" i="25"/>
  <c r="N27" i="25"/>
  <c r="N26" i="25"/>
  <c r="N25" i="25"/>
  <c r="N24" i="25"/>
  <c r="N23" i="25"/>
  <c r="N22" i="25"/>
  <c r="N21" i="25"/>
  <c r="N20" i="25"/>
  <c r="N19" i="25"/>
  <c r="N18" i="25"/>
  <c r="F28" i="25"/>
  <c r="N17" i="25"/>
  <c r="N16" i="25"/>
  <c r="N15" i="25"/>
  <c r="N14" i="25"/>
  <c r="N13" i="25"/>
  <c r="N12" i="25"/>
  <c r="D12" i="25"/>
  <c r="N11" i="25"/>
  <c r="N10" i="25"/>
  <c r="N9" i="25"/>
  <c r="N8" i="25"/>
  <c r="N7" i="25"/>
  <c r="N6" i="25"/>
  <c r="N5" i="25"/>
  <c r="N4" i="25"/>
  <c r="K4" i="25"/>
  <c r="I4" i="25"/>
  <c r="N3" i="25"/>
  <c r="B2" i="25"/>
  <c r="Q39" i="24"/>
  <c r="O39" i="24"/>
  <c r="N38" i="24"/>
  <c r="N37" i="24"/>
  <c r="N36" i="24"/>
  <c r="N35" i="24"/>
  <c r="N34" i="24"/>
  <c r="N33" i="24"/>
  <c r="N32" i="24"/>
  <c r="F32" i="24"/>
  <c r="N31" i="24"/>
  <c r="N30" i="24"/>
  <c r="N29" i="24"/>
  <c r="N28" i="24"/>
  <c r="N27" i="24"/>
  <c r="N26" i="24"/>
  <c r="N25" i="24"/>
  <c r="N24" i="24"/>
  <c r="N23" i="24"/>
  <c r="N22" i="24"/>
  <c r="N21" i="24"/>
  <c r="N20" i="24"/>
  <c r="N19" i="24"/>
  <c r="N18" i="24"/>
  <c r="N17" i="24"/>
  <c r="N16" i="24"/>
  <c r="N15" i="24"/>
  <c r="N14" i="24"/>
  <c r="N13" i="24"/>
  <c r="N12" i="24"/>
  <c r="N11" i="24"/>
  <c r="N10" i="24"/>
  <c r="N9" i="24"/>
  <c r="N8" i="24"/>
  <c r="N7" i="24"/>
  <c r="N6" i="24"/>
  <c r="D6" i="24"/>
  <c r="N5" i="24"/>
  <c r="N4" i="24"/>
  <c r="M4" i="24"/>
  <c r="I4" i="24"/>
  <c r="N3" i="24"/>
  <c r="B2" i="24"/>
  <c r="Q39" i="23"/>
  <c r="O39" i="23"/>
  <c r="N35" i="23"/>
  <c r="N34" i="23"/>
  <c r="N33" i="23"/>
  <c r="N32" i="23"/>
  <c r="F32" i="23"/>
  <c r="N31" i="23"/>
  <c r="N30" i="23"/>
  <c r="N29" i="23"/>
  <c r="N28" i="23"/>
  <c r="N27" i="23"/>
  <c r="N26" i="23"/>
  <c r="N25" i="23"/>
  <c r="N24" i="23"/>
  <c r="N23" i="23"/>
  <c r="N22" i="23"/>
  <c r="N21" i="23"/>
  <c r="N20" i="23"/>
  <c r="N19" i="23"/>
  <c r="N18" i="23"/>
  <c r="N17" i="23"/>
  <c r="N16" i="23"/>
  <c r="B16" i="23"/>
  <c r="N15" i="23"/>
  <c r="N14" i="23"/>
  <c r="N13" i="23"/>
  <c r="N12" i="23"/>
  <c r="D12" i="23"/>
  <c r="N11" i="23"/>
  <c r="N10" i="23"/>
  <c r="N9" i="23"/>
  <c r="N8" i="23"/>
  <c r="N7" i="23"/>
  <c r="N6" i="23"/>
  <c r="D6" i="23"/>
  <c r="N5" i="23"/>
  <c r="N4" i="23"/>
  <c r="K4" i="23"/>
  <c r="I4" i="23"/>
  <c r="N3" i="23"/>
  <c r="B2" i="23"/>
  <c r="Q39" i="22"/>
  <c r="O39" i="22"/>
  <c r="N38" i="22"/>
  <c r="N37" i="22"/>
  <c r="N36" i="22"/>
  <c r="N35" i="22"/>
  <c r="N34" i="22"/>
  <c r="N33" i="22"/>
  <c r="N32" i="22"/>
  <c r="F32" i="22"/>
  <c r="N31" i="22"/>
  <c r="N30" i="22"/>
  <c r="N29" i="22"/>
  <c r="N28" i="22"/>
  <c r="N27" i="22"/>
  <c r="N26" i="22"/>
  <c r="N25" i="22"/>
  <c r="N24" i="22"/>
  <c r="N23" i="22"/>
  <c r="N22" i="22"/>
  <c r="N21" i="22"/>
  <c r="N20" i="22"/>
  <c r="N19" i="22"/>
  <c r="N18" i="22"/>
  <c r="N17" i="22"/>
  <c r="N16" i="22"/>
  <c r="N15" i="22"/>
  <c r="N14" i="22"/>
  <c r="N13" i="22"/>
  <c r="N12" i="22"/>
  <c r="N11" i="22"/>
  <c r="N10" i="22"/>
  <c r="N9" i="22"/>
  <c r="N8" i="22"/>
  <c r="N7" i="22"/>
  <c r="N6" i="22"/>
  <c r="D6" i="22"/>
  <c r="N5" i="22"/>
  <c r="N4" i="22"/>
  <c r="J4" i="22"/>
  <c r="I4" i="22"/>
  <c r="N3" i="22"/>
  <c r="B3" i="22"/>
  <c r="Q39" i="21"/>
  <c r="O39" i="21"/>
  <c r="N38" i="21"/>
  <c r="N37" i="21"/>
  <c r="N36" i="21"/>
  <c r="N35" i="21"/>
  <c r="N34" i="21"/>
  <c r="N33" i="21"/>
  <c r="N32" i="21"/>
  <c r="F32" i="21"/>
  <c r="N31" i="21"/>
  <c r="N30" i="21"/>
  <c r="N29" i="21"/>
  <c r="N28" i="21"/>
  <c r="N27" i="21"/>
  <c r="N26" i="21"/>
  <c r="N25" i="21"/>
  <c r="N24" i="21"/>
  <c r="N23" i="21"/>
  <c r="N22" i="21"/>
  <c r="N21" i="21"/>
  <c r="N20" i="21"/>
  <c r="N19" i="21"/>
  <c r="N18" i="21"/>
  <c r="N17" i="21"/>
  <c r="N16" i="21"/>
  <c r="N15" i="21"/>
  <c r="N14" i="21"/>
  <c r="N13" i="21"/>
  <c r="N12" i="21"/>
  <c r="N11" i="21"/>
  <c r="N10" i="21"/>
  <c r="N9" i="21"/>
  <c r="N8" i="21"/>
  <c r="N7" i="21"/>
  <c r="N6" i="21"/>
  <c r="D6" i="21"/>
  <c r="N5" i="21"/>
  <c r="N4" i="21"/>
  <c r="L4" i="21"/>
  <c r="I4" i="21"/>
  <c r="N3" i="21"/>
  <c r="B3" i="21"/>
  <c r="Q39" i="20"/>
  <c r="O39" i="20"/>
  <c r="N38" i="20"/>
  <c r="N37" i="20"/>
  <c r="N36" i="20"/>
  <c r="N35" i="20"/>
  <c r="N34" i="20"/>
  <c r="N33" i="20"/>
  <c r="N32" i="20"/>
  <c r="N31" i="20"/>
  <c r="N30" i="20"/>
  <c r="N29" i="20"/>
  <c r="N28" i="20"/>
  <c r="N27" i="20"/>
  <c r="N26" i="20"/>
  <c r="N25" i="20"/>
  <c r="N24" i="20"/>
  <c r="N23" i="20"/>
  <c r="N22" i="20"/>
  <c r="N21" i="20"/>
  <c r="N20" i="20"/>
  <c r="N19" i="20"/>
  <c r="N18" i="20"/>
  <c r="N17" i="20"/>
  <c r="N16" i="20"/>
  <c r="N15" i="20"/>
  <c r="N14" i="20"/>
  <c r="N13" i="20"/>
  <c r="N12" i="20"/>
  <c r="N11" i="20"/>
  <c r="N10" i="20"/>
  <c r="N9" i="20"/>
  <c r="N8" i="20"/>
  <c r="N7" i="20"/>
  <c r="N6" i="20"/>
  <c r="D6" i="20"/>
  <c r="N5" i="20"/>
  <c r="N4" i="20"/>
  <c r="J4" i="20"/>
  <c r="I4" i="20"/>
  <c r="N3" i="20"/>
  <c r="B3" i="20"/>
  <c r="Q39" i="19"/>
  <c r="O39" i="19"/>
  <c r="N38" i="19"/>
  <c r="N37" i="19"/>
  <c r="N36" i="19"/>
  <c r="N35" i="19"/>
  <c r="N34" i="19"/>
  <c r="N33" i="19"/>
  <c r="N32" i="19"/>
  <c r="F32" i="19"/>
  <c r="N31" i="19"/>
  <c r="N30" i="19"/>
  <c r="N29" i="19"/>
  <c r="N28" i="19"/>
  <c r="N27" i="19"/>
  <c r="N26" i="19"/>
  <c r="N25" i="19"/>
  <c r="N24" i="19"/>
  <c r="N23" i="19"/>
  <c r="N22" i="19"/>
  <c r="N21" i="19"/>
  <c r="N20" i="19"/>
  <c r="N19" i="19"/>
  <c r="N18" i="19"/>
  <c r="N17" i="19"/>
  <c r="N16" i="19"/>
  <c r="N15" i="19"/>
  <c r="N14" i="19"/>
  <c r="N13" i="19"/>
  <c r="N12" i="19"/>
  <c r="N11" i="19"/>
  <c r="N10" i="19"/>
  <c r="D10" i="19"/>
  <c r="N9" i="19"/>
  <c r="N8" i="19"/>
  <c r="N7" i="19"/>
  <c r="N6" i="19"/>
  <c r="D6" i="19"/>
  <c r="N5" i="19"/>
  <c r="G5" i="19"/>
  <c r="N4" i="19"/>
  <c r="I4" i="19"/>
  <c r="H4" i="19"/>
  <c r="N3" i="19"/>
  <c r="B3" i="19"/>
  <c r="Q39" i="18"/>
  <c r="O39" i="18"/>
  <c r="N38" i="18"/>
  <c r="N37" i="18"/>
  <c r="N36" i="18"/>
  <c r="N35" i="18"/>
  <c r="N34" i="18"/>
  <c r="N33" i="18"/>
  <c r="N32" i="18"/>
  <c r="F32" i="18"/>
  <c r="N31" i="18"/>
  <c r="N30" i="18"/>
  <c r="N29" i="18"/>
  <c r="N28" i="18"/>
  <c r="N27" i="18"/>
  <c r="N26" i="18"/>
  <c r="N25" i="18"/>
  <c r="N24" i="18"/>
  <c r="N23" i="18"/>
  <c r="N22" i="18"/>
  <c r="N21" i="18"/>
  <c r="N20" i="18"/>
  <c r="N19" i="18"/>
  <c r="N18" i="18"/>
  <c r="N17" i="18"/>
  <c r="N16" i="18"/>
  <c r="N15" i="18"/>
  <c r="N14" i="18"/>
  <c r="N13" i="18"/>
  <c r="N12" i="18"/>
  <c r="D12" i="18"/>
  <c r="N11" i="18"/>
  <c r="N10" i="18"/>
  <c r="N9" i="18"/>
  <c r="N8" i="18"/>
  <c r="N7" i="18"/>
  <c r="N6" i="18"/>
  <c r="D6" i="18"/>
  <c r="N5" i="18"/>
  <c r="N4" i="18"/>
  <c r="K4" i="18"/>
  <c r="I4" i="18"/>
  <c r="N3" i="18"/>
  <c r="B3" i="18"/>
  <c r="Q39" i="17"/>
  <c r="O39" i="17"/>
  <c r="N38" i="17"/>
  <c r="N37" i="17"/>
  <c r="N36" i="17"/>
  <c r="N35" i="17"/>
  <c r="N34" i="17"/>
  <c r="N33" i="17"/>
  <c r="N32" i="17"/>
  <c r="F32" i="17"/>
  <c r="N31" i="17"/>
  <c r="N30" i="17"/>
  <c r="N29" i="17"/>
  <c r="N28" i="17"/>
  <c r="N27" i="17"/>
  <c r="N26" i="17"/>
  <c r="N25" i="17"/>
  <c r="N24" i="17"/>
  <c r="N23" i="17"/>
  <c r="N22" i="17"/>
  <c r="N21" i="17"/>
  <c r="N20" i="17"/>
  <c r="N19" i="17"/>
  <c r="N18" i="17"/>
  <c r="N17" i="17"/>
  <c r="N16" i="17"/>
  <c r="N15" i="17"/>
  <c r="N14" i="17"/>
  <c r="N13" i="17"/>
  <c r="N12" i="17"/>
  <c r="D12" i="17"/>
  <c r="N11" i="17"/>
  <c r="N10" i="17"/>
  <c r="N9" i="17"/>
  <c r="N8" i="17"/>
  <c r="N7" i="17"/>
  <c r="N6" i="17"/>
  <c r="D6" i="17"/>
  <c r="N5" i="17"/>
  <c r="N4" i="17"/>
  <c r="J4" i="17"/>
  <c r="I4" i="17"/>
  <c r="N3" i="17"/>
  <c r="B3" i="17"/>
  <c r="Q39" i="16"/>
  <c r="O39" i="16"/>
  <c r="N38" i="16"/>
  <c r="N37" i="16"/>
  <c r="N36" i="16"/>
  <c r="N35" i="16"/>
  <c r="N34" i="16"/>
  <c r="N33" i="16"/>
  <c r="N32" i="16"/>
  <c r="F32" i="16"/>
  <c r="N31" i="16"/>
  <c r="N30" i="16"/>
  <c r="N29" i="16"/>
  <c r="N28" i="16"/>
  <c r="N27" i="16"/>
  <c r="N26" i="16"/>
  <c r="N25" i="16"/>
  <c r="N24" i="16"/>
  <c r="N23" i="16"/>
  <c r="N22" i="16"/>
  <c r="N21" i="16"/>
  <c r="N20" i="16"/>
  <c r="N19" i="16"/>
  <c r="N18" i="16"/>
  <c r="N17" i="16"/>
  <c r="N16" i="16"/>
  <c r="F16" i="16"/>
  <c r="N15" i="16"/>
  <c r="N14" i="16"/>
  <c r="N13" i="16"/>
  <c r="N12" i="16"/>
  <c r="N11" i="16"/>
  <c r="N10" i="16"/>
  <c r="N9" i="16"/>
  <c r="N8" i="16"/>
  <c r="N7" i="16"/>
  <c r="N6" i="16"/>
  <c r="D6" i="16"/>
  <c r="N5" i="16"/>
  <c r="N4" i="16"/>
  <c r="M4" i="16"/>
  <c r="I4" i="16"/>
  <c r="N3" i="16"/>
  <c r="B3" i="16"/>
  <c r="Q39" i="15"/>
  <c r="O39" i="15"/>
  <c r="N38" i="15"/>
  <c r="N37" i="15"/>
  <c r="N36" i="15"/>
  <c r="N35" i="15"/>
  <c r="N34" i="15"/>
  <c r="N33" i="15"/>
  <c r="N32" i="15"/>
  <c r="F32" i="15"/>
  <c r="N31" i="15"/>
  <c r="N30" i="15"/>
  <c r="N29" i="15"/>
  <c r="N28" i="15"/>
  <c r="N27" i="15"/>
  <c r="N26" i="15"/>
  <c r="N25" i="15"/>
  <c r="N24" i="15"/>
  <c r="N23" i="15"/>
  <c r="N22" i="15"/>
  <c r="N21" i="15"/>
  <c r="N20" i="15"/>
  <c r="N19" i="15"/>
  <c r="N18" i="15"/>
  <c r="N17" i="15"/>
  <c r="N16" i="15"/>
  <c r="N15" i="15"/>
  <c r="N14" i="15"/>
  <c r="N13" i="15"/>
  <c r="N12" i="15"/>
  <c r="N11" i="15"/>
  <c r="N10" i="15"/>
  <c r="N9" i="15"/>
  <c r="N8" i="15"/>
  <c r="N7" i="15"/>
  <c r="N6" i="15"/>
  <c r="D6" i="15"/>
  <c r="N5" i="15"/>
  <c r="N4" i="15"/>
  <c r="J4" i="15"/>
  <c r="I4" i="15"/>
  <c r="N3" i="15"/>
  <c r="B3" i="15"/>
  <c r="Q39" i="14"/>
  <c r="O39" i="14"/>
  <c r="N38" i="14"/>
  <c r="N37" i="14"/>
  <c r="N36" i="14"/>
  <c r="N35" i="14"/>
  <c r="N34" i="14"/>
  <c r="N33" i="14"/>
  <c r="N32" i="14"/>
  <c r="F32" i="14"/>
  <c r="N31" i="14"/>
  <c r="N30" i="14"/>
  <c r="N29" i="14"/>
  <c r="N28" i="14"/>
  <c r="N27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N6" i="14"/>
  <c r="D6" i="14"/>
  <c r="N5" i="14"/>
  <c r="N4" i="14"/>
  <c r="J4" i="14"/>
  <c r="I4" i="14"/>
  <c r="N3" i="14"/>
  <c r="B3" i="14"/>
  <c r="Q39" i="13"/>
  <c r="O39" i="13"/>
  <c r="N38" i="13"/>
  <c r="N37" i="13"/>
  <c r="N36" i="13"/>
  <c r="N35" i="13"/>
  <c r="N34" i="13"/>
  <c r="N33" i="13"/>
  <c r="N32" i="13"/>
  <c r="F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F16" i="13"/>
  <c r="N15" i="13"/>
  <c r="N14" i="13"/>
  <c r="N13" i="13"/>
  <c r="N12" i="13"/>
  <c r="N11" i="13"/>
  <c r="N10" i="13"/>
  <c r="N9" i="13"/>
  <c r="N8" i="13"/>
  <c r="N7" i="13"/>
  <c r="N6" i="13"/>
  <c r="D6" i="13"/>
  <c r="N5" i="13"/>
  <c r="N4" i="13"/>
  <c r="H4" i="13"/>
  <c r="N3" i="13"/>
  <c r="B3" i="13"/>
  <c r="Q39" i="12"/>
  <c r="O39" i="12"/>
  <c r="N38" i="12"/>
  <c r="N37" i="12"/>
  <c r="N36" i="12"/>
  <c r="N35" i="12"/>
  <c r="N34" i="12"/>
  <c r="N33" i="12"/>
  <c r="N32" i="12"/>
  <c r="F32" i="12"/>
  <c r="N31" i="12"/>
  <c r="N30" i="12"/>
  <c r="N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N9" i="12"/>
  <c r="N8" i="12"/>
  <c r="N7" i="12"/>
  <c r="N6" i="12"/>
  <c r="D6" i="12"/>
  <c r="N5" i="12"/>
  <c r="N4" i="12"/>
  <c r="J4" i="12"/>
  <c r="I4" i="12"/>
  <c r="N3" i="12"/>
  <c r="B3" i="12"/>
  <c r="Q39" i="11"/>
  <c r="O39" i="11"/>
  <c r="N38" i="11"/>
  <c r="N37" i="11"/>
  <c r="N36" i="11"/>
  <c r="N35" i="11"/>
  <c r="N34" i="11"/>
  <c r="N33" i="11"/>
  <c r="N32" i="11"/>
  <c r="E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C6" i="11"/>
  <c r="N5" i="11"/>
  <c r="N4" i="11"/>
  <c r="H4" i="11"/>
  <c r="N3" i="11"/>
  <c r="B3" i="11"/>
  <c r="Q39" i="10"/>
  <c r="O39" i="10"/>
  <c r="N38" i="10"/>
  <c r="N37" i="10"/>
  <c r="N36" i="10"/>
  <c r="N35" i="10"/>
  <c r="N34" i="10"/>
  <c r="N33" i="10"/>
  <c r="N32" i="10"/>
  <c r="E32" i="10"/>
  <c r="N31" i="10"/>
  <c r="N30" i="10"/>
  <c r="N29" i="10"/>
  <c r="N28" i="10"/>
  <c r="N27" i="10"/>
  <c r="N26" i="10"/>
  <c r="N25" i="10"/>
  <c r="N24" i="10"/>
  <c r="N23" i="10"/>
  <c r="N22" i="10"/>
  <c r="E22" i="10"/>
  <c r="N21" i="10"/>
  <c r="N20" i="10"/>
  <c r="N19" i="10"/>
  <c r="N18" i="10"/>
  <c r="N17" i="10"/>
  <c r="N16" i="10"/>
  <c r="N15" i="10"/>
  <c r="N14" i="10"/>
  <c r="N13" i="10"/>
  <c r="N12" i="10"/>
  <c r="C12" i="10"/>
  <c r="N11" i="10"/>
  <c r="N10" i="10"/>
  <c r="N9" i="10"/>
  <c r="N8" i="10"/>
  <c r="N7" i="10"/>
  <c r="N6" i="10"/>
  <c r="C6" i="10"/>
  <c r="N5" i="10"/>
  <c r="N4" i="10"/>
  <c r="H4" i="10"/>
  <c r="N3" i="10"/>
  <c r="B3" i="10"/>
  <c r="Q39" i="9"/>
  <c r="O39" i="9"/>
  <c r="N38" i="9"/>
  <c r="N37" i="9"/>
  <c r="N36" i="9"/>
  <c r="N35" i="9"/>
  <c r="N34" i="9"/>
  <c r="N33" i="9"/>
  <c r="N32" i="9"/>
  <c r="E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E28" i="9"/>
  <c r="N17" i="9"/>
  <c r="N16" i="9"/>
  <c r="N15" i="9"/>
  <c r="N14" i="9"/>
  <c r="N13" i="9"/>
  <c r="N12" i="9"/>
  <c r="C12" i="9"/>
  <c r="N11" i="9"/>
  <c r="N10" i="9"/>
  <c r="N9" i="9"/>
  <c r="N8" i="9"/>
  <c r="N7" i="9"/>
  <c r="N6" i="9"/>
  <c r="C6" i="9"/>
  <c r="N5" i="9"/>
  <c r="N4" i="9"/>
  <c r="H4" i="9"/>
  <c r="N3" i="9"/>
  <c r="B3" i="9"/>
  <c r="Q39" i="8"/>
  <c r="O39" i="8"/>
  <c r="N38" i="8"/>
  <c r="N37" i="8"/>
  <c r="N36" i="8"/>
  <c r="N35" i="8"/>
  <c r="N34" i="8"/>
  <c r="N33" i="8"/>
  <c r="N32" i="8"/>
  <c r="E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C12" i="8"/>
  <c r="N11" i="8"/>
  <c r="N10" i="8"/>
  <c r="N9" i="8"/>
  <c r="N8" i="8"/>
  <c r="N7" i="8"/>
  <c r="N6" i="8"/>
  <c r="C6" i="8"/>
  <c r="N5" i="8"/>
  <c r="N4" i="8"/>
  <c r="H4" i="8"/>
  <c r="N3" i="8"/>
  <c r="B3" i="8"/>
  <c r="Q39" i="7"/>
  <c r="O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D26" i="7"/>
  <c r="C26" i="7"/>
  <c r="N25" i="7"/>
  <c r="N24" i="7"/>
  <c r="N23" i="7"/>
  <c r="N22" i="7"/>
  <c r="N21" i="7"/>
  <c r="N20" i="7"/>
  <c r="N19" i="7"/>
  <c r="N18" i="7"/>
  <c r="E28" i="7"/>
  <c r="N17" i="7"/>
  <c r="N16" i="7"/>
  <c r="N15" i="7"/>
  <c r="N14" i="7"/>
  <c r="N13" i="7"/>
  <c r="N12" i="7"/>
  <c r="C12" i="7"/>
  <c r="N11" i="7"/>
  <c r="N10" i="7"/>
  <c r="N9" i="7"/>
  <c r="N8" i="7"/>
  <c r="N7" i="7"/>
  <c r="N6" i="7"/>
  <c r="N5" i="7"/>
  <c r="N4" i="7"/>
  <c r="H4" i="7"/>
  <c r="N3" i="7"/>
  <c r="B3" i="7"/>
  <c r="Q39" i="6"/>
  <c r="O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C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C12" i="6"/>
  <c r="N11" i="6"/>
  <c r="N10" i="6"/>
  <c r="N9" i="6"/>
  <c r="N8" i="6"/>
  <c r="N7" i="6"/>
  <c r="N6" i="6"/>
  <c r="N5" i="6"/>
  <c r="N4" i="6"/>
  <c r="H4" i="6"/>
  <c r="N3" i="6"/>
  <c r="B3" i="6"/>
  <c r="Q39" i="5"/>
  <c r="O39" i="5"/>
  <c r="N38" i="5"/>
  <c r="N37" i="5"/>
  <c r="N36" i="5"/>
  <c r="N35" i="5"/>
  <c r="N34" i="5"/>
  <c r="N33" i="5"/>
  <c r="N32" i="5"/>
  <c r="E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C12" i="5"/>
  <c r="N11" i="5"/>
  <c r="N10" i="5"/>
  <c r="N9" i="5"/>
  <c r="N8" i="5"/>
  <c r="N7" i="5"/>
  <c r="N6" i="5"/>
  <c r="C6" i="5"/>
  <c r="N5" i="5"/>
  <c r="N4" i="5"/>
  <c r="H4" i="5"/>
  <c r="N3" i="5"/>
  <c r="B3" i="5"/>
  <c r="Q39" i="4"/>
  <c r="O39" i="4"/>
  <c r="N38" i="4"/>
  <c r="N37" i="4"/>
  <c r="N36" i="4"/>
  <c r="N35" i="4"/>
  <c r="N34" i="4"/>
  <c r="N33" i="4"/>
  <c r="N32" i="4"/>
  <c r="E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C12" i="4"/>
  <c r="N11" i="4"/>
  <c r="N10" i="4"/>
  <c r="N9" i="4"/>
  <c r="N8" i="4"/>
  <c r="N7" i="4"/>
  <c r="N6" i="4"/>
  <c r="C6" i="4"/>
  <c r="N5" i="4"/>
  <c r="N4" i="4"/>
  <c r="H4" i="4"/>
  <c r="N3" i="4"/>
  <c r="B3" i="4"/>
  <c r="Q39" i="3"/>
  <c r="O39" i="3"/>
  <c r="N38" i="3"/>
  <c r="N37" i="3"/>
  <c r="N36" i="3"/>
  <c r="N35" i="3"/>
  <c r="N34" i="3"/>
  <c r="N33" i="3"/>
  <c r="N32" i="3"/>
  <c r="E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C12" i="3"/>
  <c r="N11" i="3"/>
  <c r="N10" i="3"/>
  <c r="N9" i="3"/>
  <c r="N8" i="3"/>
  <c r="N7" i="3"/>
  <c r="N6" i="3"/>
  <c r="C6" i="3"/>
  <c r="N5" i="3"/>
  <c r="N4" i="3"/>
  <c r="H4" i="3"/>
  <c r="N3" i="3"/>
  <c r="B3" i="3"/>
  <c r="Q39" i="2"/>
  <c r="O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D6" i="2"/>
  <c r="N5" i="2"/>
  <c r="N4" i="2"/>
  <c r="G4" i="2"/>
  <c r="N3" i="2"/>
  <c r="B3" i="2"/>
  <c r="Q39" i="1"/>
  <c r="O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F20" i="33" l="1"/>
  <c r="K31" i="37"/>
  <c r="K30" i="37"/>
  <c r="F20" i="32"/>
  <c r="K32" i="37"/>
  <c r="F20" i="34"/>
  <c r="K28" i="37"/>
  <c r="F20" i="30"/>
  <c r="K29" i="37"/>
  <c r="F20" i="31"/>
  <c r="F20" i="19"/>
  <c r="F20" i="15"/>
  <c r="E20" i="11"/>
  <c r="E30" i="11" s="1"/>
  <c r="E34" i="11" s="1"/>
  <c r="E20" i="7"/>
  <c r="E30" i="7" s="1"/>
  <c r="E34" i="7" s="1"/>
  <c r="F20" i="2"/>
  <c r="F20" i="18"/>
  <c r="F30" i="18" s="1"/>
  <c r="F20" i="14"/>
  <c r="F30" i="14" s="1"/>
  <c r="F34" i="14" s="1"/>
  <c r="E20" i="6"/>
  <c r="E30" i="6" s="1"/>
  <c r="E34" i="6" s="1"/>
  <c r="E20" i="1"/>
  <c r="E30" i="1" s="1"/>
  <c r="E34" i="1" s="1"/>
  <c r="K3" i="37"/>
  <c r="E20" i="5"/>
  <c r="E30" i="5" s="1"/>
  <c r="E34" i="5" s="1"/>
  <c r="E20" i="3"/>
  <c r="E30" i="3" s="1"/>
  <c r="E34" i="3" s="1"/>
  <c r="F20" i="22"/>
  <c r="F30" i="22" s="1"/>
  <c r="F34" i="22" s="1"/>
  <c r="F20" i="25"/>
  <c r="F20" i="21"/>
  <c r="F20" i="13"/>
  <c r="E20" i="9"/>
  <c r="E30" i="9" s="1"/>
  <c r="E34" i="9" s="1"/>
  <c r="F20" i="24"/>
  <c r="F20" i="20"/>
  <c r="F30" i="20" s="1"/>
  <c r="F34" i="20" s="1"/>
  <c r="F20" i="16"/>
  <c r="F20" i="12"/>
  <c r="E20" i="8"/>
  <c r="H6" i="37"/>
  <c r="K6" i="37" s="1"/>
  <c r="F16" i="23"/>
  <c r="F16" i="24"/>
  <c r="F16" i="36"/>
  <c r="F16" i="15"/>
  <c r="E16" i="10"/>
  <c r="E16" i="11"/>
  <c r="F16" i="14"/>
  <c r="F16" i="32"/>
  <c r="E16" i="8"/>
  <c r="F16" i="34"/>
  <c r="E16" i="1"/>
  <c r="E16" i="7"/>
  <c r="F16" i="17"/>
  <c r="F16" i="2"/>
  <c r="E16" i="6"/>
  <c r="F16" i="21"/>
  <c r="E16" i="5"/>
  <c r="F16" i="18"/>
  <c r="F20" i="17"/>
  <c r="F16" i="30"/>
  <c r="M21" i="37"/>
  <c r="F30" i="2"/>
  <c r="F34" i="2" s="1"/>
  <c r="E20" i="10"/>
  <c r="E30" i="10" s="1"/>
  <c r="E34" i="10" s="1"/>
  <c r="F20" i="23"/>
  <c r="E16" i="4"/>
  <c r="F16" i="12"/>
  <c r="F16" i="19"/>
  <c r="F16" i="25"/>
  <c r="F20" i="36"/>
  <c r="F30" i="35"/>
  <c r="F34" i="35" s="1"/>
  <c r="F16" i="33"/>
  <c r="F16" i="31"/>
  <c r="F30" i="24" l="1"/>
  <c r="F34" i="24" s="1"/>
  <c r="F34" i="18"/>
  <c r="F30" i="12"/>
  <c r="F34" i="12" s="1"/>
  <c r="F30" i="25"/>
  <c r="F34" i="25" s="1"/>
  <c r="F30" i="13"/>
  <c r="F34" i="13" s="1"/>
  <c r="E20" i="4"/>
  <c r="E30" i="4" s="1"/>
  <c r="E34" i="4" s="1"/>
  <c r="F30" i="30"/>
  <c r="F34" i="30" s="1"/>
  <c r="F30" i="32"/>
  <c r="F34" i="32" s="1"/>
  <c r="F30" i="33"/>
  <c r="F34" i="33" s="1"/>
  <c r="F30" i="34"/>
  <c r="F34" i="34" s="1"/>
  <c r="E30" i="8"/>
  <c r="E34" i="8" s="1"/>
  <c r="F30" i="16"/>
  <c r="F34" i="16" s="1"/>
  <c r="F30" i="31"/>
  <c r="F34" i="31" s="1"/>
  <c r="F30" i="17"/>
  <c r="F34" i="17" s="1"/>
  <c r="M8" i="37"/>
  <c r="F30" i="15"/>
  <c r="F34" i="15" s="1"/>
  <c r="F30" i="21"/>
  <c r="F34" i="21" s="1"/>
  <c r="M17" i="37"/>
  <c r="F30" i="23"/>
  <c r="F34" i="23" s="1"/>
  <c r="M13" i="37"/>
  <c r="F30" i="19"/>
  <c r="F34" i="19" s="1"/>
  <c r="F34" i="36"/>
  <c r="M4" i="37"/>
  <c r="M10" i="37"/>
  <c r="M9" i="37"/>
  <c r="M32" i="37"/>
  <c r="M18" i="37"/>
  <c r="M20" i="37"/>
  <c r="M15" i="37"/>
  <c r="M5" i="37"/>
  <c r="M16" i="37"/>
  <c r="M31" i="37"/>
  <c r="M22" i="37"/>
  <c r="M14" i="37"/>
  <c r="M25" i="37"/>
  <c r="M24" i="37"/>
  <c r="M26" i="37"/>
  <c r="M23" i="37"/>
  <c r="M7" i="37"/>
  <c r="N29" i="37"/>
  <c r="M29" i="37"/>
  <c r="M28" i="37"/>
  <c r="M12" i="37"/>
  <c r="M27" i="37"/>
  <c r="M19" i="37"/>
  <c r="M11" i="37"/>
  <c r="M6" i="37" l="1"/>
  <c r="M30" i="37"/>
  <c r="M3" i="37"/>
</calcChain>
</file>

<file path=xl/sharedStrings.xml><?xml version="1.0" encoding="utf-8"?>
<sst xmlns="http://schemas.openxmlformats.org/spreadsheetml/2006/main" count="1136" uniqueCount="144">
  <si>
    <t>WATER BILL</t>
  </si>
  <si>
    <t>ISSUE DATE</t>
  </si>
  <si>
    <t>LAST PAY DATE</t>
  </si>
  <si>
    <t>PREVIOUS READING</t>
  </si>
  <si>
    <t>CURRENT READING</t>
  </si>
  <si>
    <t>CONSUMPTION</t>
  </si>
  <si>
    <t>BILL NO.</t>
  </si>
  <si>
    <t>TENANT NAME</t>
  </si>
  <si>
    <t>LAST ACCOUNT</t>
  </si>
  <si>
    <t>MONTH BILL</t>
  </si>
  <si>
    <t>TOTAL PAYABLE</t>
  </si>
  <si>
    <t>NOTE</t>
  </si>
  <si>
    <t>A receipt will be issued upon bank confirmation of the transaction.</t>
  </si>
  <si>
    <t xml:space="preserve">         Consolidated Bank Account</t>
  </si>
  <si>
    <t xml:space="preserve">         Kitengela Branch</t>
  </si>
  <si>
    <t>NB: Kindly give the management atleast  two (2) months prior notice incase you intend to terminate the tenancy for ease of logisitics.</t>
  </si>
  <si>
    <t>KSHS.</t>
  </si>
  <si>
    <t>Units</t>
  </si>
  <si>
    <t>kshs.</t>
  </si>
  <si>
    <t>Kshs.</t>
  </si>
  <si>
    <t>CONSUMPTION (Units)</t>
  </si>
  <si>
    <t xml:space="preserve">PREVIOUS READING </t>
  </si>
  <si>
    <t>E &amp; O E</t>
  </si>
  <si>
    <t>LAST ACCOUNT B/F</t>
  </si>
  <si>
    <t>TOTAL</t>
  </si>
  <si>
    <t>PAID</t>
  </si>
  <si>
    <t>P.O BOX 9473-00200 NAIROBI</t>
  </si>
  <si>
    <t>PERIOD</t>
  </si>
  <si>
    <t>CURRENT</t>
  </si>
  <si>
    <t>READING</t>
  </si>
  <si>
    <t>RATE</t>
  </si>
  <si>
    <t xml:space="preserve"> </t>
  </si>
  <si>
    <t>MONTH Water BILL</t>
  </si>
  <si>
    <t xml:space="preserve">         A/C  NO. 10171202000107</t>
  </si>
  <si>
    <t xml:space="preserve">      Frebazeth Company Limited</t>
  </si>
  <si>
    <t xml:space="preserve"> A reconnection fee of Kshs. 1,000 will be charged and paid before supply is reconnected.</t>
  </si>
  <si>
    <t>Rent is due on or before 5th of the month. By 7th day, any rent not paid will attract interest at 2% per day.</t>
  </si>
  <si>
    <t xml:space="preserve"> Amounts not cleared by last pay date will render to water disconnection.</t>
  </si>
  <si>
    <t>(Kindly indicate your Name &amp; House number on the deposit slip &amp; inform the Bank teller to capture it.)</t>
  </si>
  <si>
    <t>HOUSE NUMBER</t>
  </si>
  <si>
    <t>AMOUNT KSHS</t>
  </si>
  <si>
    <t>Amount (Kshs.)</t>
  </si>
  <si>
    <t>Amount (Kshs)</t>
  </si>
  <si>
    <t>Amount(Kshs)</t>
  </si>
  <si>
    <t>a)</t>
  </si>
  <si>
    <t>b)</t>
  </si>
  <si>
    <t>c)</t>
  </si>
  <si>
    <t>d)</t>
  </si>
  <si>
    <t>e)</t>
  </si>
  <si>
    <t>f)</t>
  </si>
  <si>
    <t>g)</t>
  </si>
  <si>
    <t>ANY MINOR REPAIRS OCCURING AFTER 3 MONTHS OF OCCUPANCY ARE TENANT'S RESPONSIBILITY AS PER TENANCY AGREEMENT.</t>
  </si>
  <si>
    <t>REMARKS</t>
  </si>
  <si>
    <t>BAL C/F</t>
  </si>
  <si>
    <t>BALANCE C/F</t>
  </si>
  <si>
    <t>AMOUNT DUE</t>
  </si>
  <si>
    <t>AMOUNT PAYABLE</t>
  </si>
  <si>
    <t>KSHS</t>
  </si>
  <si>
    <t>NAMES</t>
  </si>
  <si>
    <t>A</t>
  </si>
  <si>
    <r>
      <t xml:space="preserve">The water bills are payable through the same account for monthly rent </t>
    </r>
    <r>
      <rPr>
        <b/>
        <sz val="11"/>
        <rFont val="Calibri"/>
        <family val="2"/>
      </rPr>
      <t>strictly through:</t>
    </r>
  </si>
  <si>
    <t>ESTIMATE</t>
  </si>
  <si>
    <t>OLE SAMEDHA APARTMENTS-Kitengela</t>
  </si>
  <si>
    <t>Any default in Rent payment by 10th of the following month the house shall be locked without notice and belongings removed for re-letting.</t>
  </si>
  <si>
    <t>salary</t>
  </si>
  <si>
    <t>ECBKL 28/2/2018</t>
  </si>
  <si>
    <t>EARLY DISCOUNT 3%</t>
  </si>
  <si>
    <t>MAY</t>
  </si>
  <si>
    <t>JUNE</t>
  </si>
  <si>
    <t>JUL</t>
  </si>
  <si>
    <t>TAX DUE</t>
  </si>
  <si>
    <t>VAR</t>
  </si>
  <si>
    <t xml:space="preserve"> MPESA, PAYBILL CONSOL BANK 508400 A/C NO. 10171202000107, Add 40/= for charges</t>
  </si>
  <si>
    <t>G</t>
  </si>
  <si>
    <t>……………</t>
  </si>
  <si>
    <t>LAST PDY</t>
  </si>
  <si>
    <t>ISUE DATE</t>
  </si>
  <si>
    <t>NAOMI</t>
  </si>
  <si>
    <t>From Borehole</t>
  </si>
  <si>
    <t>Out Borehole</t>
  </si>
  <si>
    <t>New Out Borehole</t>
  </si>
  <si>
    <t>Lorry Water</t>
  </si>
  <si>
    <t>PASSION FARM A</t>
  </si>
  <si>
    <t>BLOCK A</t>
  </si>
  <si>
    <t>BLOCK B</t>
  </si>
  <si>
    <t>NEW BLOCK</t>
  </si>
  <si>
    <t>HOUSE JOHN</t>
  </si>
  <si>
    <t>KAYAVA</t>
  </si>
  <si>
    <t xml:space="preserve">Mr Vincent </t>
  </si>
  <si>
    <t>Mr Wamalwa</t>
  </si>
  <si>
    <t>Mr Mwita</t>
  </si>
  <si>
    <t>Andrew  nyarandi</t>
  </si>
  <si>
    <t>NAMBOKAH</t>
  </si>
  <si>
    <t>KIMANI</t>
  </si>
  <si>
    <t>Agnes</t>
  </si>
  <si>
    <t>Nancy</t>
  </si>
  <si>
    <t xml:space="preserve"> Kurgat samson</t>
  </si>
  <si>
    <t>Jane Mwangi</t>
  </si>
  <si>
    <t>Brian murithi</t>
  </si>
  <si>
    <t xml:space="preserve"> Daniel   uka</t>
  </si>
  <si>
    <t>Danstone amaitsa</t>
  </si>
  <si>
    <t>Eric</t>
  </si>
  <si>
    <t>Pamela</t>
  </si>
  <si>
    <t>Nyakundi BISMARK</t>
  </si>
  <si>
    <t>Patrick</t>
  </si>
  <si>
    <t>Jacky</t>
  </si>
  <si>
    <t>NO</t>
  </si>
  <si>
    <t>TOTAL WATER BILL</t>
  </si>
  <si>
    <t>FIXED CHARGE</t>
  </si>
  <si>
    <t>Bal + /-</t>
  </si>
  <si>
    <t>Total Bill</t>
  </si>
  <si>
    <t>NAME</t>
  </si>
  <si>
    <t>SAMEDHA BOREHOLE</t>
  </si>
  <si>
    <t>LAST COUNT</t>
  </si>
  <si>
    <t>KINDLY PAY FOR WATER LATEST BY 5TH OF THE MONTH AND FORWARD SMS OR WHATSAPP TO 0702325121</t>
  </si>
  <si>
    <t>TILL 4536508</t>
  </si>
  <si>
    <t>29TH DEC 2025</t>
  </si>
  <si>
    <t>5TH JAN 2026</t>
  </si>
  <si>
    <t>SALMA SPROUTS LTD</t>
  </si>
  <si>
    <t>OLE SAMEDHA BOREHOLE KISAJU</t>
  </si>
  <si>
    <t>BISMARK NYAKUNDI</t>
  </si>
  <si>
    <t>PRVIOUS</t>
  </si>
  <si>
    <t>29TH JAN 2025</t>
  </si>
  <si>
    <t>5TH FEB 2026</t>
  </si>
  <si>
    <t>PAYBILL 4139271  ACC NO KSJ 2</t>
  </si>
  <si>
    <t>PAYBILL 4139271 ACC NO KSJ 1</t>
  </si>
  <si>
    <t>PAYBILL 4139271 PAYBILL KSJ3</t>
  </si>
  <si>
    <t>PAYBILL 4139271 ACC NO KSJ 4</t>
  </si>
  <si>
    <t>PAYBLL 4139271 ACC NO KSJ 5</t>
  </si>
  <si>
    <t>PAYBILL 4139271 ACC NO KSJ 6</t>
  </si>
  <si>
    <t>PAYBILL 4139271 ACC NO KSJ 7</t>
  </si>
  <si>
    <t>PAYBILL 4139271 ACC NO KSJ 8</t>
  </si>
  <si>
    <t>PAYBILL 4139271 ACC NO KSJ 10</t>
  </si>
  <si>
    <t>PAYBILL 4139271 ACC NO KSJ 11</t>
  </si>
  <si>
    <t>PAY BLL 4139271 ACC NO KSJ 12</t>
  </si>
  <si>
    <t>PAYBILL 4139271 ACC NO KSJ 13</t>
  </si>
  <si>
    <t>PAYBILL 4139271 ACC NO KSJ 14</t>
  </si>
  <si>
    <t>PAY BLL 4139271 ACC NO KSJ 15</t>
  </si>
  <si>
    <t>PAY BLL 4139271 ACC NO KSJ 16</t>
  </si>
  <si>
    <t>PAY BILL 4139271 ACC NO KSJ 17</t>
  </si>
  <si>
    <t>PAYBILL 4139271 ACC NO KSJ 18</t>
  </si>
  <si>
    <t>PAYBLL 4139271 ACC NO KSJ 19</t>
  </si>
  <si>
    <t>PAY BILL 4139271 ACC NO KSJ 20</t>
  </si>
  <si>
    <t>PAY BILL 4139271  ACC NO KSJ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</si>
</sst>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</numFmts>
  <fonts count="33" x14ac:knownFonts="1">
    <font>
      <sz val="11"/>
      <name val="Calibri"/>
    </font>
    <font>
      <sz val="11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b/>
      <i/>
      <sz val="14"/>
      <color rgb="FFFF0000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</font>
    <font>
      <b/>
      <sz val="25"/>
      <name val="Calibri"/>
      <family val="2"/>
    </font>
    <font>
      <sz val="25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b/>
      <i/>
      <sz val="14"/>
      <name val="Calibri"/>
      <family val="2"/>
    </font>
    <font>
      <i/>
      <sz val="14"/>
      <name val="Calibri"/>
      <family val="2"/>
    </font>
    <font>
      <sz val="11"/>
      <name val="Calibri"/>
      <family val="2"/>
    </font>
    <font>
      <sz val="16"/>
      <name val="Calibri"/>
      <family val="2"/>
    </font>
    <font>
      <b/>
      <sz val="16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22"/>
      <name val="Calibri"/>
      <family val="2"/>
    </font>
    <font>
      <b/>
      <sz val="25"/>
      <name val="Calibri"/>
      <family val="2"/>
    </font>
    <font>
      <b/>
      <sz val="14"/>
      <name val="Calibri"/>
      <family val="2"/>
    </font>
    <font>
      <sz val="16"/>
      <color theme="1"/>
      <name val="Calibri"/>
      <family val="2"/>
    </font>
    <font>
      <sz val="16"/>
      <color rgb="FFFF0000"/>
      <name val="Calibri"/>
      <family val="2"/>
    </font>
    <font>
      <sz val="16"/>
      <color rgb="FFC00000"/>
      <name val="Calibri"/>
      <family val="2"/>
    </font>
    <font>
      <sz val="18"/>
      <name val="Calibri"/>
      <family val="2"/>
    </font>
    <font>
      <b/>
      <sz val="2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43" fontId="19" fillId="0" borderId="0">
      <protection locked="0"/>
    </xf>
    <xf numFmtId="9" fontId="1" fillId="0" borderId="0">
      <protection locked="0"/>
    </xf>
  </cellStyleXfs>
  <cellXfs count="100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5" fillId="0" borderId="1" xfId="0" applyFont="1" applyBorder="1" applyAlignment="1"/>
    <xf numFmtId="164" fontId="1" fillId="0" borderId="1" xfId="1" applyNumberFormat="1" applyFont="1" applyBorder="1" applyProtection="1"/>
    <xf numFmtId="0" fontId="6" fillId="0" borderId="1" xfId="0" applyFont="1" applyBorder="1" applyAlignment="1"/>
    <xf numFmtId="164" fontId="1" fillId="0" borderId="1" xfId="0" applyNumberFormat="1" applyFont="1" applyBorder="1" applyAlignment="1"/>
    <xf numFmtId="0" fontId="7" fillId="0" borderId="1" xfId="0" applyFont="1" applyBorder="1" applyAlignment="1"/>
    <xf numFmtId="0" fontId="8" fillId="0" borderId="1" xfId="0" applyFont="1" applyBorder="1" applyAlignment="1"/>
    <xf numFmtId="0" fontId="9" fillId="0" borderId="1" xfId="0" applyFont="1" applyBorder="1" applyAlignment="1"/>
    <xf numFmtId="0" fontId="10" fillId="0" borderId="1" xfId="0" applyFont="1" applyBorder="1" applyAlignment="1"/>
    <xf numFmtId="0" fontId="11" fillId="0" borderId="1" xfId="0" applyFont="1" applyBorder="1" applyAlignment="1"/>
    <xf numFmtId="9" fontId="4" fillId="0" borderId="1" xfId="2" applyFont="1" applyBorder="1" applyProtection="1"/>
    <xf numFmtId="0" fontId="9" fillId="2" borderId="1" xfId="0" applyFont="1" applyFill="1" applyBorder="1" applyAlignment="1"/>
    <xf numFmtId="0" fontId="4" fillId="0" borderId="1" xfId="0" applyFont="1" applyBorder="1" applyAlignment="1">
      <alignment horizontal="left"/>
    </xf>
    <xf numFmtId="49" fontId="1" fillId="0" borderId="1" xfId="0" applyNumberFormat="1" applyFont="1" applyBorder="1" applyAlignment="1"/>
    <xf numFmtId="14" fontId="1" fillId="0" borderId="1" xfId="0" applyNumberFormat="1" applyFont="1" applyBorder="1" applyAlignment="1"/>
    <xf numFmtId="18" fontId="1" fillId="0" borderId="1" xfId="0" applyNumberFormat="1" applyFont="1" applyBorder="1" applyAlignment="1"/>
    <xf numFmtId="0" fontId="12" fillId="0" borderId="1" xfId="0" applyFont="1" applyBorder="1" applyAlignment="1"/>
    <xf numFmtId="0" fontId="12" fillId="0" borderId="0" xfId="0" applyFont="1">
      <alignment vertical="center"/>
    </xf>
    <xf numFmtId="0" fontId="13" fillId="0" borderId="1" xfId="0" applyFont="1" applyBorder="1" applyAlignment="1"/>
    <xf numFmtId="14" fontId="12" fillId="0" borderId="1" xfId="0" applyNumberFormat="1" applyFont="1" applyBorder="1" applyAlignment="1">
      <alignment horizontal="left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right"/>
    </xf>
    <xf numFmtId="164" fontId="12" fillId="0" borderId="1" xfId="1" applyNumberFormat="1" applyFont="1" applyBorder="1" applyProtection="1"/>
    <xf numFmtId="164" fontId="12" fillId="0" borderId="1" xfId="0" applyNumberFormat="1" applyFont="1" applyBorder="1" applyAlignment="1"/>
    <xf numFmtId="3" fontId="12" fillId="0" borderId="1" xfId="0" applyNumberFormat="1" applyFont="1" applyBorder="1" applyAlignment="1"/>
    <xf numFmtId="0" fontId="14" fillId="0" borderId="1" xfId="0" applyFont="1" applyBorder="1" applyAlignment="1"/>
    <xf numFmtId="0" fontId="15" fillId="2" borderId="1" xfId="0" applyFont="1" applyFill="1" applyBorder="1" applyAlignment="1"/>
    <xf numFmtId="0" fontId="15" fillId="0" borderId="1" xfId="0" applyFont="1" applyBorder="1" applyAlignment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indent="5"/>
    </xf>
    <xf numFmtId="0" fontId="9" fillId="3" borderId="1" xfId="0" applyFont="1" applyFill="1" applyBorder="1" applyAlignment="1"/>
    <xf numFmtId="0" fontId="1" fillId="3" borderId="1" xfId="0" applyFont="1" applyFill="1" applyBorder="1" applyAlignment="1"/>
    <xf numFmtId="43" fontId="4" fillId="0" borderId="1" xfId="1" applyFont="1" applyBorder="1" applyProtection="1"/>
    <xf numFmtId="43" fontId="1" fillId="0" borderId="1" xfId="0" applyNumberFormat="1" applyFont="1" applyBorder="1" applyAlignment="1"/>
    <xf numFmtId="0" fontId="16" fillId="0" borderId="1" xfId="0" applyFont="1" applyBorder="1" applyAlignment="1"/>
    <xf numFmtId="0" fontId="17" fillId="0" borderId="0" xfId="0" applyFont="1" applyAlignment="1"/>
    <xf numFmtId="164" fontId="17" fillId="0" borderId="0" xfId="1" applyNumberFormat="1" applyFont="1" applyProtection="1"/>
    <xf numFmtId="0" fontId="1" fillId="0" borderId="0" xfId="0" applyFont="1">
      <alignment vertical="center"/>
    </xf>
    <xf numFmtId="0" fontId="17" fillId="0" borderId="1" xfId="0" applyFont="1" applyBorder="1" applyAlignment="1"/>
    <xf numFmtId="0" fontId="18" fillId="0" borderId="1" xfId="0" applyFont="1" applyBorder="1" applyAlignment="1"/>
    <xf numFmtId="164" fontId="17" fillId="0" borderId="1" xfId="1" applyNumberFormat="1" applyFont="1" applyBorder="1" applyProtection="1"/>
    <xf numFmtId="0" fontId="18" fillId="0" borderId="0" xfId="0" applyFont="1" applyAlignment="1"/>
    <xf numFmtId="164" fontId="18" fillId="0" borderId="1" xfId="1" applyNumberFormat="1" applyFont="1" applyBorder="1" applyProtection="1"/>
    <xf numFmtId="164" fontId="18" fillId="0" borderId="0" xfId="1" applyNumberFormat="1" applyFont="1" applyProtection="1"/>
    <xf numFmtId="17" fontId="17" fillId="0" borderId="1" xfId="0" applyNumberFormat="1" applyFont="1" applyBorder="1" applyAlignment="1"/>
    <xf numFmtId="164" fontId="17" fillId="0" borderId="1" xfId="0" applyNumberFormat="1" applyFont="1" applyBorder="1" applyAlignment="1"/>
    <xf numFmtId="0" fontId="17" fillId="2" borderId="0" xfId="0" applyFont="1" applyFill="1" applyAlignment="1"/>
    <xf numFmtId="164" fontId="17" fillId="0" borderId="0" xfId="0" applyNumberFormat="1" applyFont="1" applyAlignment="1"/>
    <xf numFmtId="43" fontId="17" fillId="0" borderId="1" xfId="1" applyFont="1" applyBorder="1" applyProtection="1"/>
    <xf numFmtId="164" fontId="19" fillId="0" borderId="0" xfId="1" applyNumberFormat="1" applyProtection="1"/>
    <xf numFmtId="164" fontId="20" fillId="0" borderId="0" xfId="1" applyNumberFormat="1" applyFont="1" applyProtection="1"/>
    <xf numFmtId="14" fontId="0" fillId="0" borderId="1" xfId="0" applyNumberFormat="1" applyBorder="1" applyAlignment="1">
      <alignment horizontal="left"/>
    </xf>
    <xf numFmtId="0" fontId="0" fillId="0" borderId="1" xfId="0" applyBorder="1" applyAlignment="1"/>
    <xf numFmtId="14" fontId="22" fillId="0" borderId="1" xfId="0" applyNumberFormat="1" applyFont="1" applyBorder="1" applyAlignment="1">
      <alignment horizontal="left"/>
    </xf>
    <xf numFmtId="0" fontId="23" fillId="0" borderId="1" xfId="0" applyFont="1" applyBorder="1" applyAlignment="1"/>
    <xf numFmtId="164" fontId="23" fillId="0" borderId="1" xfId="0" applyNumberFormat="1" applyFont="1" applyBorder="1" applyAlignment="1"/>
    <xf numFmtId="164" fontId="23" fillId="0" borderId="1" xfId="1" applyNumberFormat="1" applyFont="1" applyBorder="1" applyProtection="1"/>
    <xf numFmtId="0" fontId="23" fillId="0" borderId="0" xfId="0" applyFont="1">
      <alignment vertical="center"/>
    </xf>
    <xf numFmtId="0" fontId="24" fillId="0" borderId="1" xfId="0" applyFont="1" applyBorder="1" applyAlignment="1"/>
    <xf numFmtId="164" fontId="24" fillId="0" borderId="1" xfId="0" applyNumberFormat="1" applyFont="1" applyBorder="1" applyAlignment="1"/>
    <xf numFmtId="164" fontId="24" fillId="0" borderId="1" xfId="1" applyNumberFormat="1" applyFont="1" applyBorder="1" applyProtection="1"/>
    <xf numFmtId="0" fontId="24" fillId="0" borderId="0" xfId="0" applyFont="1" applyAlignment="1"/>
    <xf numFmtId="164" fontId="0" fillId="0" borderId="1" xfId="1" applyNumberFormat="1" applyFont="1" applyBorder="1" applyProtection="1"/>
    <xf numFmtId="0" fontId="25" fillId="0" borderId="1" xfId="0" applyFont="1" applyBorder="1" applyAlignment="1"/>
    <xf numFmtId="0" fontId="26" fillId="0" borderId="1" xfId="0" applyFont="1" applyBorder="1" applyAlignment="1"/>
    <xf numFmtId="0" fontId="22" fillId="0" borderId="1" xfId="0" applyFont="1" applyBorder="1" applyAlignment="1"/>
    <xf numFmtId="0" fontId="27" fillId="0" borderId="1" xfId="0" applyFont="1" applyBorder="1" applyAlignment="1"/>
    <xf numFmtId="0" fontId="27" fillId="0" borderId="0" xfId="0" applyFont="1">
      <alignment vertical="center"/>
    </xf>
    <xf numFmtId="0" fontId="18" fillId="4" borderId="4" xfId="0" applyFont="1" applyFill="1" applyBorder="1" applyAlignment="1">
      <alignment wrapText="1"/>
    </xf>
    <xf numFmtId="0" fontId="28" fillId="0" borderId="6" xfId="0" applyFont="1" applyBorder="1" applyAlignment="1"/>
    <xf numFmtId="0" fontId="28" fillId="4" borderId="6" xfId="0" applyFont="1" applyFill="1" applyBorder="1" applyAlignment="1"/>
    <xf numFmtId="0" fontId="29" fillId="0" borderId="6" xfId="0" applyFont="1" applyBorder="1" applyAlignment="1"/>
    <xf numFmtId="0" fontId="30" fillId="0" borderId="6" xfId="0" applyFont="1" applyBorder="1" applyAlignment="1"/>
    <xf numFmtId="0" fontId="30" fillId="0" borderId="5" xfId="0" applyFont="1" applyBorder="1" applyAlignment="1"/>
    <xf numFmtId="0" fontId="30" fillId="0" borderId="1" xfId="0" applyFont="1" applyBorder="1" applyAlignment="1"/>
    <xf numFmtId="0" fontId="17" fillId="0" borderId="1" xfId="0" applyFont="1" applyBorder="1" applyAlignment="1">
      <alignment wrapText="1"/>
    </xf>
    <xf numFmtId="0" fontId="18" fillId="4" borderId="1" xfId="0" applyFont="1" applyFill="1" applyBorder="1" applyAlignment="1">
      <alignment wrapText="1"/>
    </xf>
    <xf numFmtId="165" fontId="18" fillId="0" borderId="1" xfId="0" applyNumberFormat="1" applyFont="1" applyBorder="1" applyAlignment="1"/>
    <xf numFmtId="0" fontId="30" fillId="0" borderId="1" xfId="0" applyFont="1" applyBorder="1" applyAlignment="1">
      <alignment horizontal="right"/>
    </xf>
    <xf numFmtId="164" fontId="17" fillId="0" borderId="1" xfId="1" applyNumberFormat="1" applyFont="1" applyBorder="1" applyAlignment="1" applyProtection="1">
      <alignment wrapText="1"/>
    </xf>
    <xf numFmtId="0" fontId="31" fillId="0" borderId="1" xfId="0" applyFont="1" applyBorder="1" applyAlignment="1"/>
    <xf numFmtId="0" fontId="32" fillId="0" borderId="1" xfId="0" applyFont="1" applyBorder="1" applyAlignment="1"/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32" fillId="0" borderId="7" xfId="0" applyFont="1" applyBorder="1" applyAlignment="1"/>
    <xf numFmtId="0" fontId="0" fillId="0" borderId="0" xfId="0">
      <alignment vertical="center"/>
    </xf>
    <xf numFmtId="0" fontId="1" fillId="0" borderId="7" xfId="0" applyFont="1" applyBorder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46" Type="http://www.wps.cn/officeDocument/2020/cell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13642</xdr:colOff>
      <xdr:row>7</xdr:row>
      <xdr:rowOff>50601</xdr:rowOff>
    </xdr:from>
    <xdr:to>
      <xdr:col>2</xdr:col>
      <xdr:colOff>491115</xdr:colOff>
      <xdr:row>40</xdr:row>
      <xdr:rowOff>20835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8847942">
          <a:off x="-884805" y="477771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807157</xdr:colOff>
      <xdr:row>1</xdr:row>
      <xdr:rowOff>279127</xdr:rowOff>
    </xdr:from>
    <xdr:to>
      <xdr:col>3</xdr:col>
      <xdr:colOff>1284630</xdr:colOff>
      <xdr:row>36</xdr:row>
      <xdr:rowOff>134689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 rot="18847942">
          <a:off x="-884805" y="370889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1742498</xdr:colOff>
      <xdr:row>6</xdr:row>
      <xdr:rowOff>63251</xdr:rowOff>
    </xdr:from>
    <xdr:to>
      <xdr:col>2</xdr:col>
      <xdr:colOff>2385</xdr:colOff>
      <xdr:row>41</xdr:row>
      <xdr:rowOff>71437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rot="18847942">
          <a:off x="-884805" y="459789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837889</xdr:colOff>
      <xdr:row>3</xdr:row>
      <xdr:rowOff>189755</xdr:rowOff>
    </xdr:from>
    <xdr:to>
      <xdr:col>2</xdr:col>
      <xdr:colOff>1307108</xdr:colOff>
      <xdr:row>38</xdr:row>
      <xdr:rowOff>150316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 rot="18847942">
          <a:off x="-884805" y="4105771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817685</xdr:colOff>
      <xdr:row>1</xdr:row>
      <xdr:rowOff>27214</xdr:rowOff>
    </xdr:from>
    <xdr:to>
      <xdr:col>2</xdr:col>
      <xdr:colOff>1295532</xdr:colOff>
      <xdr:row>36</xdr:row>
      <xdr:rowOff>66733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 rot="18847942">
          <a:off x="-278508" y="3291478"/>
          <a:ext cx="6643519" cy="47784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843644</xdr:colOff>
      <xdr:row>20</xdr:row>
      <xdr:rowOff>127340</xdr:rowOff>
    </xdr:from>
    <xdr:to>
      <xdr:col>14</xdr:col>
      <xdr:colOff>94570</xdr:colOff>
      <xdr:row>23</xdr:row>
      <xdr:rowOff>48977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 rot="19024217">
          <a:off x="5461001" y="4073412"/>
          <a:ext cx="6317569" cy="46592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298313</xdr:colOff>
      <xdr:row>0</xdr:row>
      <xdr:rowOff>0</xdr:rowOff>
    </xdr:from>
    <xdr:to>
      <xdr:col>2</xdr:col>
      <xdr:colOff>765773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 rot="18847942">
          <a:off x="-884804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886020</xdr:colOff>
      <xdr:row>1</xdr:row>
      <xdr:rowOff>0</xdr:rowOff>
    </xdr:from>
    <xdr:to>
      <xdr:col>2</xdr:col>
      <xdr:colOff>1361800</xdr:colOff>
      <xdr:row>36</xdr:row>
      <xdr:rowOff>46136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 rot="18847942">
          <a:off x="-440305" y="34231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156808</xdr:colOff>
      <xdr:row>2</xdr:row>
      <xdr:rowOff>164455</xdr:rowOff>
    </xdr:from>
    <xdr:to>
      <xdr:col>2</xdr:col>
      <xdr:colOff>636680</xdr:colOff>
      <xdr:row>38</xdr:row>
      <xdr:rowOff>125015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 rot="18847942">
          <a:off x="-884805" y="3899397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12025</xdr:colOff>
      <xdr:row>0</xdr:row>
      <xdr:rowOff>0</xdr:rowOff>
    </xdr:from>
    <xdr:to>
      <xdr:col>2</xdr:col>
      <xdr:colOff>483431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 rot="18847942">
          <a:off x="-884805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29839</xdr:colOff>
      <xdr:row>7</xdr:row>
      <xdr:rowOff>0</xdr:rowOff>
    </xdr:from>
    <xdr:to>
      <xdr:col>3</xdr:col>
      <xdr:colOff>511870</xdr:colOff>
      <xdr:row>43</xdr:row>
      <xdr:rowOff>8185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 rot="18847942">
          <a:off x="-884805" y="472489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246512</xdr:colOff>
      <xdr:row>0</xdr:row>
      <xdr:rowOff>0</xdr:rowOff>
    </xdr:from>
    <xdr:to>
      <xdr:col>3</xdr:col>
      <xdr:colOff>726791</xdr:colOff>
      <xdr:row>29</xdr:row>
      <xdr:rowOff>26975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 rot="18847942">
          <a:off x="-706121" y="3193276"/>
          <a:ext cx="6866832" cy="48027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853821</xdr:colOff>
      <xdr:row>0</xdr:row>
      <xdr:rowOff>101451</xdr:rowOff>
    </xdr:from>
    <xdr:to>
      <xdr:col>3</xdr:col>
      <xdr:colOff>1325227</xdr:colOff>
      <xdr:row>35</xdr:row>
      <xdr:rowOff>195584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 rot="18847942">
          <a:off x="-455085" y="3167190"/>
          <a:ext cx="6602883" cy="47140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1205207</xdr:colOff>
      <xdr:row>0</xdr:row>
      <xdr:rowOff>0</xdr:rowOff>
    </xdr:from>
    <xdr:to>
      <xdr:col>3</xdr:col>
      <xdr:colOff>1686406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 rot="18847942">
          <a:off x="5853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759792</xdr:colOff>
      <xdr:row>1</xdr:row>
      <xdr:rowOff>101500</xdr:rowOff>
    </xdr:from>
    <xdr:to>
      <xdr:col>3</xdr:col>
      <xdr:colOff>1235573</xdr:colOff>
      <xdr:row>35</xdr:row>
      <xdr:rowOff>195336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 rot="18847942">
          <a:off x="-519680" y="3534271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1029191</xdr:colOff>
      <xdr:row>6</xdr:row>
      <xdr:rowOff>105833</xdr:rowOff>
    </xdr:from>
    <xdr:to>
      <xdr:col>11</xdr:col>
      <xdr:colOff>1517065</xdr:colOff>
      <xdr:row>66</xdr:row>
      <xdr:rowOff>95249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 rot="18096816">
          <a:off x="3754920" y="6344187"/>
          <a:ext cx="11557000" cy="15779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8</xdr:col>
      <xdr:colOff>520628</xdr:colOff>
      <xdr:row>6</xdr:row>
      <xdr:rowOff>88815</xdr:rowOff>
    </xdr:from>
    <xdr:to>
      <xdr:col>8</xdr:col>
      <xdr:colOff>995069</xdr:colOff>
      <xdr:row>42</xdr:row>
      <xdr:rowOff>118815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 rot="18847942">
          <a:off x="5166682" y="4406844"/>
          <a:ext cx="6612834" cy="47444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124269</xdr:colOff>
      <xdr:row>0</xdr:row>
      <xdr:rowOff>0</xdr:rowOff>
    </xdr:from>
    <xdr:to>
      <xdr:col>3</xdr:col>
      <xdr:colOff>591630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 rot="18847942">
          <a:off x="-884806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550655</xdr:colOff>
      <xdr:row>11</xdr:row>
      <xdr:rowOff>158841</xdr:rowOff>
    </xdr:from>
    <xdr:to>
      <xdr:col>8</xdr:col>
      <xdr:colOff>31389</xdr:colOff>
      <xdr:row>47</xdr:row>
      <xdr:rowOff>69549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 rot="18847942">
          <a:off x="5172251" y="5347995"/>
          <a:ext cx="6525291" cy="44381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854860</xdr:colOff>
      <xdr:row>0</xdr:row>
      <xdr:rowOff>0</xdr:rowOff>
    </xdr:from>
    <xdr:to>
      <xdr:col>3</xdr:col>
      <xdr:colOff>1346404</xdr:colOff>
      <xdr:row>35</xdr:row>
      <xdr:rowOff>62197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 rot="18847942">
          <a:off x="-884805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45697</xdr:colOff>
      <xdr:row>2</xdr:row>
      <xdr:rowOff>151804</xdr:rowOff>
    </xdr:from>
    <xdr:to>
      <xdr:col>3</xdr:col>
      <xdr:colOff>517103</xdr:colOff>
      <xdr:row>38</xdr:row>
      <xdr:rowOff>112365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 rot="18847942">
          <a:off x="-884805" y="3883521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1554887</xdr:colOff>
      <xdr:row>0</xdr:row>
      <xdr:rowOff>0</xdr:rowOff>
    </xdr:from>
    <xdr:to>
      <xdr:col>3</xdr:col>
      <xdr:colOff>2027778</xdr:colOff>
      <xdr:row>34</xdr:row>
      <xdr:rowOff>103137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 rot="18847942">
          <a:off x="-168771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1139239</xdr:colOff>
      <xdr:row>0</xdr:row>
      <xdr:rowOff>0</xdr:rowOff>
    </xdr:from>
    <xdr:to>
      <xdr:col>3</xdr:col>
      <xdr:colOff>1617066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 rot="18847942">
          <a:off x="-884805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665569</xdr:colOff>
      <xdr:row>0</xdr:row>
      <xdr:rowOff>0</xdr:rowOff>
    </xdr:from>
    <xdr:to>
      <xdr:col>3</xdr:col>
      <xdr:colOff>1157114</xdr:colOff>
      <xdr:row>34</xdr:row>
      <xdr:rowOff>103137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 rot="18847942">
          <a:off x="-184646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807157</xdr:colOff>
      <xdr:row>0</xdr:row>
      <xdr:rowOff>114188</xdr:rowOff>
    </xdr:from>
    <xdr:to>
      <xdr:col>3</xdr:col>
      <xdr:colOff>1284630</xdr:colOff>
      <xdr:row>35</xdr:row>
      <xdr:rowOff>208359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 rot="18847942">
          <a:off x="-186303" y="3359645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34690</xdr:colOff>
      <xdr:row>0</xdr:row>
      <xdr:rowOff>148167</xdr:rowOff>
    </xdr:from>
    <xdr:to>
      <xdr:col>10</xdr:col>
      <xdr:colOff>287770</xdr:colOff>
      <xdr:row>35</xdr:row>
      <xdr:rowOff>50221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 rot="18847942">
          <a:off x="4459411" y="3322279"/>
          <a:ext cx="6601304" cy="2530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966297</xdr:colOff>
      <xdr:row>0</xdr:row>
      <xdr:rowOff>0</xdr:rowOff>
    </xdr:from>
    <xdr:to>
      <xdr:col>3</xdr:col>
      <xdr:colOff>1384363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 rot="18847942">
          <a:off x="543944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920501</xdr:colOff>
      <xdr:row>0</xdr:row>
      <xdr:rowOff>0</xdr:rowOff>
    </xdr:from>
    <xdr:to>
      <xdr:col>4</xdr:col>
      <xdr:colOff>531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 rot="18847942">
          <a:off x="291603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2400" b="1">
            <a:solidFill>
              <a:srgbClr val="FF8080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491544</xdr:colOff>
      <xdr:row>0</xdr:row>
      <xdr:rowOff>0</xdr:rowOff>
    </xdr:from>
    <xdr:to>
      <xdr:col>3</xdr:col>
      <xdr:colOff>983089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 rot="18847942">
          <a:off x="-152897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421192</xdr:colOff>
      <xdr:row>0</xdr:row>
      <xdr:rowOff>146384</xdr:rowOff>
    </xdr:from>
    <xdr:to>
      <xdr:col>11</xdr:col>
      <xdr:colOff>241782</xdr:colOff>
      <xdr:row>36</xdr:row>
      <xdr:rowOff>7498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/>
      </xdr:nvSpPr>
      <xdr:spPr>
        <a:xfrm rot="18847942">
          <a:off x="6010097" y="3214646"/>
          <a:ext cx="6602697" cy="46617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WATER BILL IS DUE ON 5TH OF EVERY MONTH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792272</xdr:colOff>
      <xdr:row>0</xdr:row>
      <xdr:rowOff>0</xdr:rowOff>
    </xdr:from>
    <xdr:to>
      <xdr:col>3</xdr:col>
      <xdr:colOff>1283816</xdr:colOff>
      <xdr:row>35</xdr:row>
      <xdr:rowOff>93947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 rot="18847942">
          <a:off x="-486271" y="3232646"/>
          <a:ext cx="6933306" cy="468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626498</xdr:colOff>
      <xdr:row>0</xdr:row>
      <xdr:rowOff>0</xdr:rowOff>
    </xdr:from>
    <xdr:to>
      <xdr:col>25</xdr:col>
      <xdr:colOff>623866</xdr:colOff>
      <xdr:row>31</xdr:row>
      <xdr:rowOff>70365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 rot="18847942">
          <a:off x="12687986" y="2802459"/>
          <a:ext cx="6245534" cy="6406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2400" b="1">
              <a:solidFill>
                <a:srgbClr val="FF8080"/>
              </a:solidFill>
              <a:latin typeface="Calibri" panose="00000000000000000000" charset="0"/>
              <a:ea typeface="Calibri" panose="00000000000000000000" charset="0"/>
            </a:rPr>
            <a:t>Rent is due on or before 5th of the month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V56"/>
  <sheetViews>
    <sheetView zoomScale="60" workbookViewId="0">
      <selection activeCell="I8" sqref="I8"/>
    </sheetView>
  </sheetViews>
  <sheetFormatPr defaultColWidth="9" defaultRowHeight="14.5" x14ac:dyDescent="0.35"/>
  <cols>
    <col min="1" max="1" width="5.81640625" style="1" customWidth="1"/>
    <col min="2" max="2" width="29.1796875" style="1" customWidth="1"/>
    <col min="3" max="3" width="29.54296875" style="1" customWidth="1"/>
    <col min="4" max="4" width="5.81640625" style="1" customWidth="1"/>
    <col min="5" max="5" width="20.81640625" style="1" customWidth="1"/>
    <col min="6" max="6" width="2" style="1" customWidth="1"/>
    <col min="7" max="7" width="9.1796875" style="1" customWidth="1"/>
    <col min="8" max="8" width="13.1796875" style="1" customWidth="1"/>
    <col min="9" max="9" width="10.72656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112</v>
      </c>
      <c r="N2" s="1" t="s">
        <v>71</v>
      </c>
      <c r="O2" s="1" t="s">
        <v>70</v>
      </c>
    </row>
    <row r="3" spans="2:15" x14ac:dyDescent="0.35">
      <c r="B3" s="1" t="s">
        <v>26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v>20242001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C6" s="4" t="str">
        <f>meter!A3</f>
        <v>From Borehole</v>
      </c>
      <c r="N6" s="1">
        <f t="shared" si="0"/>
        <v>11070</v>
      </c>
      <c r="O6" s="1">
        <v>11070</v>
      </c>
    </row>
    <row r="7" spans="2:15" x14ac:dyDescent="0.35">
      <c r="B7" s="63"/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62" t="s">
        <v>122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62" t="s">
        <v>123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ht="30.75" customHeight="1" x14ac:dyDescent="0.35">
      <c r="N14" s="1">
        <f t="shared" si="0"/>
        <v>11070</v>
      </c>
      <c r="O14" s="1">
        <v>11070</v>
      </c>
    </row>
    <row r="15" spans="2:15" ht="47.25" customHeight="1" x14ac:dyDescent="0.35">
      <c r="B15" s="6" t="s">
        <v>21</v>
      </c>
      <c r="C15" s="7" t="s">
        <v>4</v>
      </c>
      <c r="E15" s="7" t="s">
        <v>20</v>
      </c>
      <c r="N15" s="1">
        <f t="shared" si="0"/>
        <v>9090</v>
      </c>
      <c r="O15" s="1">
        <v>9090</v>
      </c>
    </row>
    <row r="16" spans="2:15" x14ac:dyDescent="0.35">
      <c r="B16" s="8">
        <f>meter!D3</f>
        <v>227</v>
      </c>
      <c r="C16" s="8">
        <f>meter!E3</f>
        <v>1280</v>
      </c>
      <c r="D16" s="1" t="s">
        <v>17</v>
      </c>
      <c r="E16" s="9">
        <f>C16-B16</f>
        <v>1053</v>
      </c>
      <c r="N16" s="1">
        <f t="shared" si="0"/>
        <v>9420</v>
      </c>
      <c r="O16" s="1">
        <v>9420</v>
      </c>
    </row>
    <row r="17" spans="2:15" x14ac:dyDescent="0.35">
      <c r="E17" s="1" t="s">
        <v>40</v>
      </c>
      <c r="N17" s="1">
        <f t="shared" si="0"/>
        <v>11154</v>
      </c>
      <c r="O17" s="1">
        <v>11154</v>
      </c>
    </row>
    <row r="18" spans="2:15" x14ac:dyDescent="0.35">
      <c r="C18" s="1" t="s">
        <v>23</v>
      </c>
      <c r="D18" s="1" t="s">
        <v>19</v>
      </c>
      <c r="E18" s="1">
        <f>meter!J3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C20" s="1" t="s">
        <v>32</v>
      </c>
      <c r="D20" s="1" t="s">
        <v>19</v>
      </c>
      <c r="E20" s="1">
        <f>meter!H3</f>
        <v>105300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E24" s="11"/>
      <c r="N24" s="1">
        <f t="shared" si="0"/>
        <v>10270</v>
      </c>
      <c r="O24" s="1">
        <v>10270</v>
      </c>
    </row>
    <row r="25" spans="2:15" x14ac:dyDescent="0.35"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C27" s="12"/>
      <c r="D27" s="12"/>
      <c r="N27" s="1">
        <f t="shared" si="0"/>
        <v>11393</v>
      </c>
      <c r="O27" s="1">
        <v>11393</v>
      </c>
    </row>
    <row r="28" spans="2:15" x14ac:dyDescent="0.35">
      <c r="E28" s="11"/>
      <c r="N28" s="1">
        <f t="shared" si="0"/>
        <v>10802</v>
      </c>
      <c r="O28" s="1">
        <v>10802</v>
      </c>
    </row>
    <row r="29" spans="2:15" x14ac:dyDescent="0.35">
      <c r="G29" s="13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C30" s="1" t="s">
        <v>10</v>
      </c>
      <c r="D30" s="1" t="s">
        <v>19</v>
      </c>
      <c r="E30" s="11">
        <f>E18+E20+E22+E24+E26+E27+E28</f>
        <v>105300</v>
      </c>
      <c r="G30" s="13"/>
      <c r="N30" s="1">
        <f t="shared" si="0"/>
        <v>9570</v>
      </c>
      <c r="O30" s="1">
        <v>9570</v>
      </c>
    </row>
    <row r="31" spans="2:15" x14ac:dyDescent="0.35">
      <c r="E31" s="11"/>
      <c r="N31" s="1">
        <f t="shared" si="0"/>
        <v>11390</v>
      </c>
      <c r="O31" s="1">
        <v>11390</v>
      </c>
    </row>
    <row r="32" spans="2:15" x14ac:dyDescent="0.35">
      <c r="C32" s="1" t="s">
        <v>25</v>
      </c>
      <c r="E32" s="11">
        <v>0</v>
      </c>
      <c r="N32" s="1">
        <f t="shared" si="0"/>
        <v>10750</v>
      </c>
      <c r="O32" s="1">
        <v>10750</v>
      </c>
    </row>
    <row r="33" spans="1:18" x14ac:dyDescent="0.35">
      <c r="E33" s="11"/>
      <c r="N33" s="1">
        <f t="shared" si="0"/>
        <v>11732</v>
      </c>
      <c r="O33" s="1">
        <v>11732</v>
      </c>
    </row>
    <row r="34" spans="1:18" x14ac:dyDescent="0.35">
      <c r="C34" s="1" t="s">
        <v>55</v>
      </c>
      <c r="E34" s="13">
        <f>E30-E32</f>
        <v>105300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10" t="s">
        <v>11</v>
      </c>
      <c r="N35" s="1">
        <f t="shared" si="0"/>
        <v>10270</v>
      </c>
      <c r="O35" s="1">
        <v>10270</v>
      </c>
    </row>
    <row r="36" spans="1:18" ht="18.5" x14ac:dyDescent="0.45">
      <c r="B36" s="14"/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N37" s="1">
        <f t="shared" si="0"/>
        <v>8770</v>
      </c>
      <c r="O37" s="1">
        <v>8770</v>
      </c>
    </row>
    <row r="38" spans="1:18" x14ac:dyDescent="0.35">
      <c r="B38" s="15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47</v>
      </c>
      <c r="B41" s="15"/>
    </row>
    <row r="42" spans="1:18" x14ac:dyDescent="0.35">
      <c r="A42" s="1" t="s">
        <v>48</v>
      </c>
      <c r="B42" s="15"/>
    </row>
    <row r="43" spans="1:18" x14ac:dyDescent="0.35">
      <c r="A43" s="1" t="s">
        <v>49</v>
      </c>
      <c r="B43" s="4"/>
    </row>
    <row r="44" spans="1:18" x14ac:dyDescent="0.35">
      <c r="B44" s="4"/>
    </row>
    <row r="45" spans="1:18" x14ac:dyDescent="0.35">
      <c r="A45" s="16"/>
      <c r="B45" s="4"/>
      <c r="G45" s="16"/>
      <c r="H45" s="16"/>
      <c r="I45" s="16"/>
    </row>
    <row r="46" spans="1:18" x14ac:dyDescent="0.35">
      <c r="B46" s="4"/>
    </row>
    <row r="47" spans="1:18" ht="32" x14ac:dyDescent="0.7">
      <c r="B47" s="17"/>
      <c r="C47" s="18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O49" s="1" t="s">
        <v>74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/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</row>
    <row r="53" spans="1:15" x14ac:dyDescent="0.35">
      <c r="B53" s="15"/>
      <c r="C53" s="15"/>
    </row>
    <row r="56" spans="1:15" x14ac:dyDescent="0.35">
      <c r="L56" s="76" t="s">
        <v>31</v>
      </c>
    </row>
  </sheetData>
  <mergeCells count="1">
    <mergeCell ref="B51:K51"/>
  </mergeCells>
  <pageMargins left="0.7" right="0.7" top="0.75" bottom="0.75" header="0.3" footer="0.3"/>
  <pageSetup paperSize="9"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V53"/>
  <sheetViews>
    <sheetView view="pageBreakPreview" topLeftCell="A4" zoomScale="60" zoomScaleNormal="60" workbookViewId="0">
      <selection activeCell="G11" sqref="G11"/>
    </sheetView>
  </sheetViews>
  <sheetFormatPr defaultColWidth="9" defaultRowHeight="14.5" x14ac:dyDescent="0.35"/>
  <cols>
    <col min="1" max="1" width="0.1796875" style="1" customWidth="1"/>
    <col min="2" max="2" width="13.81640625" style="1" customWidth="1"/>
    <col min="3" max="3" width="9.1796875" style="1" customWidth="1"/>
    <col min="4" max="4" width="29.54296875" style="1" customWidth="1"/>
    <col min="5" max="5" width="9" style="1" customWidth="1"/>
    <col min="6" max="6" width="19.26953125" style="1" customWidth="1"/>
    <col min="7" max="7" width="35.1796875" style="1" customWidth="1"/>
    <col min="8" max="8" width="11.453125" style="1" customWidth="1"/>
    <col min="9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112</v>
      </c>
      <c r="N2" s="1" t="s">
        <v>71</v>
      </c>
      <c r="O2" s="1" t="s">
        <v>70</v>
      </c>
    </row>
    <row r="3" spans="2:15" x14ac:dyDescent="0.35">
      <c r="B3" s="1" t="str">
        <f>'FROM BOREHOLE'!B3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F4" s="1" t="s">
        <v>6</v>
      </c>
      <c r="G4" s="1">
        <f>'FROM BOREHOLE'!H4+2-1</f>
        <v>20242002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D6" s="4" t="str">
        <f>meter!A4</f>
        <v>Out Borehole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62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62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ht="29" x14ac:dyDescent="0.35">
      <c r="B15" s="7" t="s">
        <v>21</v>
      </c>
      <c r="D15" s="7" t="s">
        <v>4</v>
      </c>
      <c r="F15" s="7" t="s">
        <v>20</v>
      </c>
      <c r="N15" s="1">
        <f t="shared" si="0"/>
        <v>9090</v>
      </c>
      <c r="O15" s="1">
        <v>9090</v>
      </c>
    </row>
    <row r="16" spans="2:15" x14ac:dyDescent="0.35">
      <c r="B16" s="8">
        <f>meter!D4</f>
        <v>15801</v>
      </c>
      <c r="C16" s="8"/>
      <c r="D16" s="8">
        <f>meter!E4</f>
        <v>16894</v>
      </c>
      <c r="E16" s="8" t="s">
        <v>17</v>
      </c>
      <c r="F16" s="9">
        <f>D16-B16</f>
        <v>1093</v>
      </c>
      <c r="N16" s="1">
        <f t="shared" si="0"/>
        <v>9420</v>
      </c>
      <c r="O16" s="1">
        <v>9420</v>
      </c>
    </row>
    <row r="17" spans="2:15" x14ac:dyDescent="0.35">
      <c r="F17" s="1" t="s">
        <v>41</v>
      </c>
      <c r="H17" s="11"/>
      <c r="N17" s="1">
        <f t="shared" si="0"/>
        <v>11154</v>
      </c>
      <c r="O17" s="1">
        <v>11154</v>
      </c>
    </row>
    <row r="18" spans="2:15" x14ac:dyDescent="0.35">
      <c r="D18" s="1" t="s">
        <v>113</v>
      </c>
      <c r="F18" s="11">
        <f>meter!J4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1" t="s">
        <v>19</v>
      </c>
      <c r="F20" s="1">
        <f>meter!H4</f>
        <v>109300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F24" s="11"/>
      <c r="N24" s="1">
        <f t="shared" si="0"/>
        <v>10270</v>
      </c>
      <c r="O24" s="1">
        <v>10270</v>
      </c>
    </row>
    <row r="25" spans="2:15" x14ac:dyDescent="0.35">
      <c r="N25" s="1">
        <f t="shared" si="0"/>
        <v>11070</v>
      </c>
      <c r="O25" s="1">
        <v>11070</v>
      </c>
    </row>
    <row r="26" spans="2:15" x14ac:dyDescent="0.35">
      <c r="F26" s="11"/>
      <c r="N26" s="1">
        <f t="shared" si="0"/>
        <v>11550</v>
      </c>
      <c r="O26" s="1">
        <v>11550</v>
      </c>
    </row>
    <row r="27" spans="2:15" x14ac:dyDescent="0.35">
      <c r="D27" s="12"/>
      <c r="G27" s="4"/>
      <c r="H27" s="11"/>
      <c r="N27" s="1">
        <f t="shared" si="0"/>
        <v>11393</v>
      </c>
      <c r="O27" s="1">
        <v>11393</v>
      </c>
    </row>
    <row r="28" spans="2:15" x14ac:dyDescent="0.35">
      <c r="F28" s="11"/>
      <c r="G28" s="19"/>
      <c r="H28" s="11"/>
      <c r="N28" s="1">
        <f t="shared" si="0"/>
        <v>10802</v>
      </c>
      <c r="O28" s="1">
        <v>10802</v>
      </c>
    </row>
    <row r="29" spans="2:15" x14ac:dyDescent="0.35">
      <c r="H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D30" s="1" t="s">
        <v>10</v>
      </c>
      <c r="E30" s="1" t="s">
        <v>19</v>
      </c>
      <c r="F30" s="11">
        <f>SUM(F17:F29)</f>
        <v>109300</v>
      </c>
      <c r="H30" s="13"/>
      <c r="N30" s="1">
        <f t="shared" si="0"/>
        <v>9570</v>
      </c>
      <c r="O30" s="1">
        <v>9570</v>
      </c>
    </row>
    <row r="31" spans="2:15" x14ac:dyDescent="0.35">
      <c r="F31" s="11"/>
      <c r="N31" s="1">
        <f t="shared" si="0"/>
        <v>11390</v>
      </c>
      <c r="O31" s="1">
        <v>11390</v>
      </c>
    </row>
    <row r="32" spans="2:15" x14ac:dyDescent="0.35">
      <c r="D32" s="1" t="s">
        <v>25</v>
      </c>
      <c r="F32" s="11">
        <v>0</v>
      </c>
      <c r="N32" s="1">
        <f t="shared" si="0"/>
        <v>10750</v>
      </c>
      <c r="O32" s="1">
        <v>10750</v>
      </c>
    </row>
    <row r="33" spans="1:18" x14ac:dyDescent="0.35">
      <c r="F33" s="11"/>
      <c r="N33" s="1">
        <f t="shared" si="0"/>
        <v>11732</v>
      </c>
      <c r="O33" s="1">
        <v>11732</v>
      </c>
    </row>
    <row r="34" spans="1:18" x14ac:dyDescent="0.35">
      <c r="D34" s="1" t="s">
        <v>55</v>
      </c>
      <c r="F34" s="13">
        <f>F30-F32</f>
        <v>109300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11</v>
      </c>
      <c r="N35" s="1">
        <f t="shared" si="0"/>
        <v>10270</v>
      </c>
      <c r="O35" s="1">
        <v>10270</v>
      </c>
    </row>
    <row r="36" spans="1:18" ht="18.5" x14ac:dyDescent="0.45">
      <c r="B36" s="1" t="s">
        <v>44</v>
      </c>
      <c r="C36" s="14"/>
      <c r="N36" s="1">
        <f t="shared" si="0"/>
        <v>10598</v>
      </c>
      <c r="O36" s="1">
        <v>10598</v>
      </c>
    </row>
    <row r="37" spans="1:18" x14ac:dyDescent="0.35">
      <c r="B37" s="1" t="s">
        <v>45</v>
      </c>
      <c r="C37" s="15"/>
      <c r="N37" s="1">
        <f t="shared" si="0"/>
        <v>8770</v>
      </c>
      <c r="O37" s="1">
        <v>8770</v>
      </c>
    </row>
    <row r="38" spans="1:18" x14ac:dyDescent="0.35">
      <c r="C38" s="15"/>
      <c r="N38" s="1">
        <f t="shared" si="0"/>
        <v>8770</v>
      </c>
      <c r="O38" s="1">
        <v>8770</v>
      </c>
    </row>
    <row r="39" spans="1:18" x14ac:dyDescent="0.35">
      <c r="B39" s="1" t="s">
        <v>46</v>
      </c>
      <c r="C39" s="15"/>
      <c r="O39" s="1">
        <f>SUM(O3:O38)</f>
        <v>391268</v>
      </c>
      <c r="Q39" s="1">
        <f>SUM(Q3:Q38)</f>
        <v>0</v>
      </c>
    </row>
    <row r="40" spans="1:18" hidden="1" x14ac:dyDescent="0.35">
      <c r="C40" s="15"/>
    </row>
    <row r="41" spans="1:18" x14ac:dyDescent="0.35">
      <c r="B41" s="1" t="s">
        <v>47</v>
      </c>
      <c r="C41" s="15"/>
    </row>
    <row r="42" spans="1:18" x14ac:dyDescent="0.35">
      <c r="A42" s="16"/>
      <c r="B42" s="1" t="s">
        <v>48</v>
      </c>
      <c r="C42" s="15"/>
    </row>
    <row r="43" spans="1:18" x14ac:dyDescent="0.35">
      <c r="B43" s="1" t="s">
        <v>49</v>
      </c>
      <c r="C43" s="4"/>
    </row>
    <row r="44" spans="1:18" x14ac:dyDescent="0.35">
      <c r="C44" s="4"/>
    </row>
    <row r="45" spans="1:18" x14ac:dyDescent="0.35">
      <c r="B45" s="16"/>
      <c r="C45" s="4"/>
      <c r="H45" s="16"/>
      <c r="I45" s="16"/>
    </row>
    <row r="46" spans="1:18" x14ac:dyDescent="0.35">
      <c r="C46" s="4"/>
    </row>
    <row r="47" spans="1:18" ht="32" x14ac:dyDescent="0.7">
      <c r="C47" s="17"/>
      <c r="D47" s="18"/>
      <c r="E47" s="18"/>
      <c r="F47" s="18"/>
    </row>
    <row r="48" spans="1:18" x14ac:dyDescent="0.35">
      <c r="C48" s="16"/>
      <c r="D48" s="16"/>
      <c r="E48" s="16"/>
      <c r="F48" s="16"/>
      <c r="G48" s="16"/>
    </row>
    <row r="49" spans="1:15" x14ac:dyDescent="0.35">
      <c r="A49" s="15"/>
      <c r="B49" s="15"/>
      <c r="C49" s="16"/>
      <c r="O49" s="1" t="s">
        <v>74</v>
      </c>
    </row>
    <row r="50" spans="1:15" ht="32" x14ac:dyDescent="0.7">
      <c r="A50" s="15"/>
      <c r="B50" s="15"/>
      <c r="C50" s="17"/>
      <c r="H50" s="15"/>
      <c r="I50" s="15"/>
    </row>
    <row r="51" spans="1:15" ht="32" x14ac:dyDescent="0.7">
      <c r="B51" s="15"/>
      <c r="C51" s="93"/>
      <c r="D51" s="94"/>
      <c r="E51" s="94"/>
      <c r="F51" s="94"/>
      <c r="G51" s="94"/>
      <c r="H51" s="94"/>
      <c r="I51" s="94"/>
      <c r="J51" s="94"/>
      <c r="K51" s="94"/>
      <c r="L51" s="95"/>
    </row>
    <row r="52" spans="1:15" x14ac:dyDescent="0.35">
      <c r="B52" s="15"/>
      <c r="C52" s="15"/>
      <c r="D52" s="4"/>
    </row>
    <row r="53" spans="1:15" x14ac:dyDescent="0.35">
      <c r="C53" s="15"/>
      <c r="D53" s="15"/>
    </row>
  </sheetData>
  <mergeCells count="1">
    <mergeCell ref="C51:L51"/>
  </mergeCells>
  <pageMargins left="0.7" right="0.7" top="0.75" bottom="0.75" header="0.3" footer="0.3"/>
  <pageSetup paperSize="9"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V53"/>
  <sheetViews>
    <sheetView zoomScale="60" workbookViewId="0">
      <selection activeCell="C5" sqref="C5"/>
    </sheetView>
  </sheetViews>
  <sheetFormatPr defaultColWidth="9" defaultRowHeight="14.5" x14ac:dyDescent="0.35"/>
  <cols>
    <col min="1" max="1" width="9.1796875" style="1" customWidth="1"/>
    <col min="2" max="2" width="30.7265625" style="1" customWidth="1"/>
    <col min="3" max="3" width="30.81640625" style="1" customWidth="1"/>
    <col min="4" max="4" width="9.1796875" style="1" customWidth="1"/>
    <col min="5" max="5" width="20.7265625" style="1" customWidth="1"/>
    <col min="6" max="6" width="5.1796875" style="1" customWidth="1"/>
    <col min="7" max="7" width="9.1796875" style="1" customWidth="1"/>
    <col min="8" max="8" width="11.1796875" style="1" bestFit="1" customWidth="1"/>
    <col min="9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112</v>
      </c>
      <c r="N2" s="1" t="s">
        <v>71</v>
      </c>
      <c r="O2" s="1" t="s">
        <v>70</v>
      </c>
    </row>
    <row r="3" spans="2:15" x14ac:dyDescent="0.35">
      <c r="B3" s="1" t="str">
        <f>'FROM BOREHOLE'!B3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'FROM BOREHOLE'!H4+3-1</f>
        <v>20242003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C6" s="4" t="str">
        <f>meter!A5</f>
        <v>New Out Borehole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62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21</v>
      </c>
      <c r="C15" s="7" t="s">
        <v>4</v>
      </c>
      <c r="E15" s="7" t="s">
        <v>20</v>
      </c>
      <c r="N15" s="1">
        <f t="shared" si="0"/>
        <v>9090</v>
      </c>
      <c r="O15" s="1">
        <v>9090</v>
      </c>
    </row>
    <row r="16" spans="2:15" x14ac:dyDescent="0.35">
      <c r="B16" s="8">
        <f>meter!D5</f>
        <v>11651</v>
      </c>
      <c r="C16" s="8">
        <f>meter!E5</f>
        <v>12600</v>
      </c>
      <c r="D16" s="8" t="s">
        <v>17</v>
      </c>
      <c r="E16" s="9">
        <f>C16-B16</f>
        <v>949</v>
      </c>
      <c r="N16" s="1">
        <f t="shared" si="0"/>
        <v>9420</v>
      </c>
      <c r="O16" s="1">
        <v>9420</v>
      </c>
    </row>
    <row r="17" spans="2:15" x14ac:dyDescent="0.35">
      <c r="E17" s="1" t="s">
        <v>41</v>
      </c>
      <c r="N17" s="1">
        <f t="shared" si="0"/>
        <v>11154</v>
      </c>
      <c r="O17" s="1">
        <v>11154</v>
      </c>
    </row>
    <row r="18" spans="2:15" x14ac:dyDescent="0.35">
      <c r="C18" s="1" t="s">
        <v>23</v>
      </c>
      <c r="D18" s="1" t="s">
        <v>19</v>
      </c>
      <c r="E18" s="1">
        <f>meter!J5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19</v>
      </c>
      <c r="E20" s="1">
        <f>meter!H5</f>
        <v>94900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E24" s="11"/>
      <c r="N24" s="1">
        <f t="shared" si="0"/>
        <v>10270</v>
      </c>
      <c r="O24" s="1">
        <v>10270</v>
      </c>
    </row>
    <row r="25" spans="2:15" x14ac:dyDescent="0.35"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C27" s="12"/>
      <c r="D27" s="12"/>
      <c r="N27" s="1">
        <f t="shared" si="0"/>
        <v>11393</v>
      </c>
      <c r="O27" s="1">
        <v>11393</v>
      </c>
    </row>
    <row r="28" spans="2:15" x14ac:dyDescent="0.35">
      <c r="E28" s="11"/>
      <c r="N28" s="1">
        <f t="shared" si="0"/>
        <v>10802</v>
      </c>
      <c r="O28" s="1">
        <v>10802</v>
      </c>
    </row>
    <row r="29" spans="2:15" x14ac:dyDescent="0.35">
      <c r="L29" s="1" t="s">
        <v>31</v>
      </c>
      <c r="N29" s="1">
        <f t="shared" si="0"/>
        <v>8930</v>
      </c>
      <c r="O29" s="1">
        <v>8930</v>
      </c>
    </row>
    <row r="30" spans="2:15" x14ac:dyDescent="0.35">
      <c r="C30" s="1" t="s">
        <v>10</v>
      </c>
      <c r="D30" s="1" t="s">
        <v>19</v>
      </c>
      <c r="E30" s="11">
        <f>SUM(E17:E29)</f>
        <v>94900</v>
      </c>
      <c r="G30" s="13"/>
      <c r="N30" s="1">
        <f t="shared" si="0"/>
        <v>9570</v>
      </c>
      <c r="O30" s="1">
        <v>9570</v>
      </c>
    </row>
    <row r="31" spans="2:15" x14ac:dyDescent="0.35">
      <c r="E31" s="11"/>
      <c r="N31" s="1">
        <f t="shared" si="0"/>
        <v>11390</v>
      </c>
      <c r="O31" s="1">
        <v>11390</v>
      </c>
    </row>
    <row r="32" spans="2:15" x14ac:dyDescent="0.35">
      <c r="C32" s="1" t="s">
        <v>25</v>
      </c>
      <c r="E32" s="11">
        <f>meter!L5</f>
        <v>0</v>
      </c>
      <c r="N32" s="1">
        <f t="shared" si="0"/>
        <v>10750</v>
      </c>
      <c r="O32" s="1">
        <v>10750</v>
      </c>
    </row>
    <row r="33" spans="1:18" x14ac:dyDescent="0.35">
      <c r="E33" s="11"/>
      <c r="N33" s="1">
        <f t="shared" si="0"/>
        <v>11732</v>
      </c>
      <c r="O33" s="1">
        <v>11732</v>
      </c>
    </row>
    <row r="34" spans="1:18" x14ac:dyDescent="0.35">
      <c r="C34" s="1" t="s">
        <v>55</v>
      </c>
      <c r="E34" s="13">
        <f>E30-E32</f>
        <v>94900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10" t="s">
        <v>11</v>
      </c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/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N37" s="1">
        <f t="shared" si="0"/>
        <v>8770</v>
      </c>
      <c r="O37" s="1">
        <v>8770</v>
      </c>
    </row>
    <row r="38" spans="1:18" x14ac:dyDescent="0.35">
      <c r="B38" s="15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47</v>
      </c>
      <c r="B41" s="15"/>
    </row>
    <row r="42" spans="1:18" x14ac:dyDescent="0.35">
      <c r="A42" s="1" t="s">
        <v>48</v>
      </c>
      <c r="B42" s="15"/>
      <c r="I42" s="16"/>
    </row>
    <row r="43" spans="1:18" x14ac:dyDescent="0.35">
      <c r="A43" s="1" t="s">
        <v>49</v>
      </c>
      <c r="B43" s="4"/>
    </row>
    <row r="44" spans="1:18" x14ac:dyDescent="0.35">
      <c r="B44" s="4"/>
    </row>
    <row r="45" spans="1:18" x14ac:dyDescent="0.35">
      <c r="A45" s="16"/>
      <c r="B45" s="4"/>
      <c r="G45" s="16"/>
      <c r="H45" s="16"/>
    </row>
    <row r="46" spans="1:18" x14ac:dyDescent="0.35">
      <c r="B46" s="4"/>
    </row>
    <row r="47" spans="1:18" ht="32" x14ac:dyDescent="0.7">
      <c r="B47" s="17"/>
      <c r="C47" s="18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O49" s="1" t="s">
        <v>74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/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</row>
    <row r="53" spans="1:15" x14ac:dyDescent="0.35">
      <c r="B53" s="15"/>
      <c r="C53" s="15"/>
    </row>
  </sheetData>
  <mergeCells count="1">
    <mergeCell ref="B51:K51"/>
  </mergeCells>
  <pageMargins left="0.7" right="0.7" top="0.75" bottom="0.75" header="0.3" footer="0.3"/>
  <pageSetup paperSize="9" scale="6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V53"/>
  <sheetViews>
    <sheetView zoomScale="60" workbookViewId="0">
      <selection activeCell="H14" sqref="H14"/>
    </sheetView>
  </sheetViews>
  <sheetFormatPr defaultColWidth="9" defaultRowHeight="14.5" x14ac:dyDescent="0.35"/>
  <cols>
    <col min="1" max="1" width="4.54296875" style="1" customWidth="1"/>
    <col min="2" max="2" width="18" style="1" customWidth="1"/>
    <col min="3" max="3" width="31.1796875" style="1" customWidth="1"/>
    <col min="4" max="4" width="9.1796875" style="1" customWidth="1"/>
    <col min="5" max="5" width="20.7265625" style="1" customWidth="1"/>
    <col min="6" max="7" width="9.1796875" style="1" customWidth="1"/>
    <col min="8" max="8" width="11" style="1" customWidth="1"/>
    <col min="9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112</v>
      </c>
      <c r="N2" s="1" t="s">
        <v>71</v>
      </c>
      <c r="O2" s="1" t="s">
        <v>70</v>
      </c>
    </row>
    <row r="3" spans="2:15" x14ac:dyDescent="0.35">
      <c r="B3" s="1" t="str">
        <f>'FROM BOREHOLE'!B3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'FROM BOREHOLE'!H4+4-1</f>
        <v>20242004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C6" s="4" t="str">
        <f>meter!A6</f>
        <v>Lorry Water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62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C15" s="7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meter!D6</f>
        <v>9968</v>
      </c>
      <c r="C16" s="8">
        <f>meter!E6</f>
        <v>9968</v>
      </c>
      <c r="D16" s="8" t="s">
        <v>17</v>
      </c>
      <c r="E16" s="9">
        <f>C16-B16</f>
        <v>0</v>
      </c>
      <c r="F16" s="8"/>
      <c r="N16" s="1">
        <f t="shared" si="0"/>
        <v>9420</v>
      </c>
      <c r="O16" s="1">
        <v>9420</v>
      </c>
    </row>
    <row r="17" spans="2:15" x14ac:dyDescent="0.35">
      <c r="E17" s="1" t="s">
        <v>42</v>
      </c>
      <c r="N17" s="1">
        <f t="shared" si="0"/>
        <v>11154</v>
      </c>
      <c r="O17" s="1">
        <v>11154</v>
      </c>
    </row>
    <row r="18" spans="2:15" x14ac:dyDescent="0.35">
      <c r="C18" s="1" t="s">
        <v>23</v>
      </c>
      <c r="D18" s="1" t="s">
        <v>19</v>
      </c>
      <c r="E18" s="1">
        <f>meter!J6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19</v>
      </c>
      <c r="E20" s="1">
        <f>meter!H6</f>
        <v>0</v>
      </c>
      <c r="N20" s="1">
        <f t="shared" si="0"/>
        <v>10590</v>
      </c>
      <c r="O20" s="1">
        <v>10590</v>
      </c>
    </row>
    <row r="21" spans="2:15" x14ac:dyDescent="0.35">
      <c r="H21" s="1" t="s">
        <v>31</v>
      </c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E24" s="11"/>
      <c r="N24" s="1">
        <f t="shared" si="0"/>
        <v>10270</v>
      </c>
      <c r="O24" s="1">
        <v>10270</v>
      </c>
    </row>
    <row r="25" spans="2:15" x14ac:dyDescent="0.35">
      <c r="N25" s="1">
        <f t="shared" si="0"/>
        <v>11070</v>
      </c>
      <c r="O25" s="1">
        <v>11070</v>
      </c>
    </row>
    <row r="26" spans="2:15" x14ac:dyDescent="0.35">
      <c r="G26" s="13"/>
      <c r="N26" s="1">
        <f t="shared" si="0"/>
        <v>11550</v>
      </c>
      <c r="O26" s="1">
        <v>11550</v>
      </c>
    </row>
    <row r="27" spans="2:15" x14ac:dyDescent="0.35">
      <c r="C27" s="12"/>
      <c r="D27" s="12"/>
      <c r="N27" s="1">
        <f t="shared" si="0"/>
        <v>11393</v>
      </c>
      <c r="O27" s="1">
        <v>11393</v>
      </c>
    </row>
    <row r="28" spans="2:15" x14ac:dyDescent="0.35">
      <c r="E28" s="11"/>
      <c r="N28" s="1">
        <f t="shared" si="0"/>
        <v>10802</v>
      </c>
      <c r="O28" s="1">
        <v>10802</v>
      </c>
    </row>
    <row r="29" spans="2:15" x14ac:dyDescent="0.35">
      <c r="L29" s="1" t="s">
        <v>31</v>
      </c>
      <c r="N29" s="1">
        <f t="shared" si="0"/>
        <v>8930</v>
      </c>
      <c r="O29" s="1">
        <v>8930</v>
      </c>
    </row>
    <row r="30" spans="2:15" x14ac:dyDescent="0.35">
      <c r="C30" s="1" t="s">
        <v>10</v>
      </c>
      <c r="D30" s="1" t="s">
        <v>19</v>
      </c>
      <c r="E30" s="11">
        <f>SUM(E17:E29)</f>
        <v>0</v>
      </c>
      <c r="G30" s="13"/>
      <c r="N30" s="1">
        <f t="shared" si="0"/>
        <v>9570</v>
      </c>
      <c r="O30" s="1">
        <v>9570</v>
      </c>
    </row>
    <row r="31" spans="2:15" x14ac:dyDescent="0.35">
      <c r="E31" s="11"/>
      <c r="N31" s="1">
        <f t="shared" si="0"/>
        <v>11390</v>
      </c>
      <c r="O31" s="1">
        <v>11390</v>
      </c>
    </row>
    <row r="32" spans="2:15" x14ac:dyDescent="0.35">
      <c r="C32" s="1" t="s">
        <v>25</v>
      </c>
      <c r="E32" s="11">
        <f>meter!L6</f>
        <v>0</v>
      </c>
      <c r="N32" s="1">
        <f t="shared" si="0"/>
        <v>10750</v>
      </c>
      <c r="O32" s="1">
        <v>10750</v>
      </c>
    </row>
    <row r="33" spans="1:18" x14ac:dyDescent="0.35">
      <c r="E33" s="11"/>
      <c r="N33" s="1">
        <f t="shared" si="0"/>
        <v>11732</v>
      </c>
      <c r="O33" s="1">
        <v>11732</v>
      </c>
    </row>
    <row r="34" spans="1:18" x14ac:dyDescent="0.35">
      <c r="C34" s="1" t="s">
        <v>55</v>
      </c>
      <c r="E34" s="13">
        <f>E30-E32</f>
        <v>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10" t="s">
        <v>11</v>
      </c>
      <c r="N35" s="1">
        <f t="shared" si="0"/>
        <v>10270</v>
      </c>
      <c r="O35" s="1">
        <v>10270</v>
      </c>
    </row>
    <row r="36" spans="1:18" ht="18.5" x14ac:dyDescent="0.45">
      <c r="B36" s="14"/>
      <c r="N36" s="1">
        <f t="shared" si="0"/>
        <v>10598</v>
      </c>
      <c r="O36" s="1">
        <v>10598</v>
      </c>
    </row>
    <row r="37" spans="1:18" x14ac:dyDescent="0.35">
      <c r="B37" s="15"/>
      <c r="N37" s="1">
        <f t="shared" si="0"/>
        <v>8770</v>
      </c>
      <c r="O37" s="1">
        <v>8770</v>
      </c>
    </row>
    <row r="38" spans="1:18" x14ac:dyDescent="0.35">
      <c r="B38" s="15"/>
      <c r="N38" s="1">
        <f t="shared" si="0"/>
        <v>8770</v>
      </c>
      <c r="O38" s="1">
        <v>8770</v>
      </c>
    </row>
    <row r="39" spans="1:18" x14ac:dyDescent="0.35">
      <c r="B39" s="15"/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B41" s="15"/>
    </row>
    <row r="42" spans="1:18" x14ac:dyDescent="0.35">
      <c r="B42" s="15"/>
      <c r="I42" s="16"/>
    </row>
    <row r="43" spans="1:18" x14ac:dyDescent="0.35">
      <c r="B43" s="4"/>
    </row>
    <row r="44" spans="1:18" x14ac:dyDescent="0.35">
      <c r="B44" s="4"/>
    </row>
    <row r="45" spans="1:18" x14ac:dyDescent="0.35">
      <c r="A45" s="16"/>
      <c r="B45" s="4"/>
      <c r="G45" s="16"/>
      <c r="H45" s="16"/>
    </row>
    <row r="46" spans="1:18" x14ac:dyDescent="0.35">
      <c r="B46" s="4"/>
    </row>
    <row r="47" spans="1:18" ht="32" x14ac:dyDescent="0.7">
      <c r="B47" s="17"/>
      <c r="C47" s="18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O49" s="1" t="s">
        <v>74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/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</row>
    <row r="53" spans="1:15" x14ac:dyDescent="0.35">
      <c r="B53" s="15"/>
      <c r="C53" s="15"/>
    </row>
  </sheetData>
  <mergeCells count="1">
    <mergeCell ref="B51:K51"/>
  </mergeCells>
  <pageMargins left="0.7" right="0.7" top="0.75" bottom="0.75" header="0.3" footer="0.3"/>
  <pageSetup paperSize="9" scale="6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V53"/>
  <sheetViews>
    <sheetView topLeftCell="A4" zoomScale="60" workbookViewId="0">
      <selection activeCell="E12" sqref="E12"/>
    </sheetView>
  </sheetViews>
  <sheetFormatPr defaultColWidth="9" defaultRowHeight="14.5" x14ac:dyDescent="0.35"/>
  <cols>
    <col min="1" max="1" width="4.7265625" style="1" customWidth="1"/>
    <col min="2" max="2" width="23.26953125" style="1" customWidth="1"/>
    <col min="3" max="3" width="31.7265625" style="1" customWidth="1"/>
    <col min="4" max="4" width="9.1796875" style="1" customWidth="1"/>
    <col min="5" max="5" width="25.26953125" style="1" customWidth="1"/>
    <col min="6" max="7" width="9.1796875" style="1" customWidth="1"/>
    <col min="8" max="8" width="14.1796875" style="1" customWidth="1"/>
    <col min="9" max="9" width="5.269531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112</v>
      </c>
      <c r="N2" s="1" t="s">
        <v>71</v>
      </c>
      <c r="O2" s="1" t="s">
        <v>70</v>
      </c>
    </row>
    <row r="3" spans="2:15" x14ac:dyDescent="0.35">
      <c r="B3" s="1" t="str">
        <f>'FROM BOREHOLE'!B3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'FROM BOREHOLE'!H4+5-1</f>
        <v>20242005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C6" s="4" t="str">
        <f>meter!A7</f>
        <v>PASSION FARM A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21</v>
      </c>
      <c r="C15" s="7" t="s">
        <v>4</v>
      </c>
      <c r="E15" s="7" t="s">
        <v>20</v>
      </c>
      <c r="N15" s="1">
        <f t="shared" si="0"/>
        <v>9090</v>
      </c>
      <c r="O15" s="1">
        <v>9090</v>
      </c>
    </row>
    <row r="16" spans="2:15" x14ac:dyDescent="0.35">
      <c r="B16" s="8">
        <f>meter!D7</f>
        <v>6881</v>
      </c>
      <c r="C16" s="8">
        <f>meter!E7</f>
        <v>0</v>
      </c>
      <c r="D16" s="8" t="s">
        <v>17</v>
      </c>
      <c r="E16" s="9">
        <f>C16-B16</f>
        <v>-6881</v>
      </c>
      <c r="N16" s="1">
        <f t="shared" si="0"/>
        <v>9420</v>
      </c>
      <c r="O16" s="1">
        <v>9420</v>
      </c>
    </row>
    <row r="17" spans="2:15" x14ac:dyDescent="0.35">
      <c r="E17" s="1" t="s">
        <v>43</v>
      </c>
      <c r="N17" s="1">
        <f t="shared" si="0"/>
        <v>11154</v>
      </c>
      <c r="O17" s="1">
        <v>11154</v>
      </c>
    </row>
    <row r="18" spans="2:15" x14ac:dyDescent="0.35">
      <c r="C18" s="1" t="s">
        <v>23</v>
      </c>
      <c r="D18" s="1" t="s">
        <v>19</v>
      </c>
      <c r="E18" s="1">
        <f>meter!J7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19</v>
      </c>
      <c r="E20" s="1">
        <f>meter!H7</f>
        <v>-688100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E24" s="11"/>
      <c r="N24" s="1">
        <f t="shared" si="0"/>
        <v>10270</v>
      </c>
      <c r="O24" s="1">
        <v>10270</v>
      </c>
    </row>
    <row r="25" spans="2:15" x14ac:dyDescent="0.35">
      <c r="E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C27" s="12"/>
      <c r="D27" s="12"/>
      <c r="E27" s="11"/>
      <c r="N27" s="1">
        <f t="shared" si="0"/>
        <v>11393</v>
      </c>
      <c r="O27" s="1">
        <v>11393</v>
      </c>
    </row>
    <row r="28" spans="2:15" x14ac:dyDescent="0.35">
      <c r="E28" s="11"/>
      <c r="N28" s="1">
        <f t="shared" si="0"/>
        <v>10802</v>
      </c>
      <c r="O28" s="1">
        <v>10802</v>
      </c>
    </row>
    <row r="29" spans="2:15" x14ac:dyDescent="0.35">
      <c r="E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C30" s="1" t="s">
        <v>10</v>
      </c>
      <c r="D30" s="1" t="s">
        <v>19</v>
      </c>
      <c r="E30" s="11">
        <f>SUM(E17:E29)</f>
        <v>-688100</v>
      </c>
      <c r="G30" s="13"/>
      <c r="N30" s="1">
        <f t="shared" si="0"/>
        <v>9570</v>
      </c>
      <c r="O30" s="1">
        <v>9570</v>
      </c>
    </row>
    <row r="31" spans="2:15" x14ac:dyDescent="0.35">
      <c r="E31" s="11"/>
      <c r="N31" s="1">
        <f t="shared" si="0"/>
        <v>11390</v>
      </c>
      <c r="O31" s="1">
        <v>11390</v>
      </c>
    </row>
    <row r="32" spans="2:15" x14ac:dyDescent="0.35">
      <c r="C32" s="1" t="s">
        <v>25</v>
      </c>
      <c r="E32" s="11">
        <f>meter!L7</f>
        <v>0</v>
      </c>
      <c r="N32" s="1">
        <f t="shared" si="0"/>
        <v>10750</v>
      </c>
      <c r="O32" s="1">
        <v>10750</v>
      </c>
    </row>
    <row r="33" spans="1:18" x14ac:dyDescent="0.35">
      <c r="E33" s="11"/>
      <c r="N33" s="1">
        <f t="shared" si="0"/>
        <v>11732</v>
      </c>
      <c r="O33" s="1">
        <v>11732</v>
      </c>
    </row>
    <row r="34" spans="1:18" x14ac:dyDescent="0.35">
      <c r="C34" s="1" t="s">
        <v>55</v>
      </c>
      <c r="E34" s="13">
        <f>E30-E32</f>
        <v>-688100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10" t="s">
        <v>11</v>
      </c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/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N37" s="1">
        <f t="shared" si="0"/>
        <v>8770</v>
      </c>
      <c r="O37" s="1">
        <v>8770</v>
      </c>
    </row>
    <row r="38" spans="1:18" x14ac:dyDescent="0.35">
      <c r="B38" s="15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47</v>
      </c>
      <c r="B41" s="15"/>
    </row>
    <row r="42" spans="1:18" x14ac:dyDescent="0.35">
      <c r="A42" s="1" t="s">
        <v>48</v>
      </c>
      <c r="B42" s="15"/>
      <c r="I42" s="20"/>
    </row>
    <row r="43" spans="1:18" x14ac:dyDescent="0.35">
      <c r="A43" s="1" t="s">
        <v>49</v>
      </c>
      <c r="B43" s="4"/>
    </row>
    <row r="44" spans="1:18" x14ac:dyDescent="0.35">
      <c r="B44" s="4"/>
    </row>
    <row r="45" spans="1:18" x14ac:dyDescent="0.35">
      <c r="A45" s="16"/>
      <c r="B45" s="4"/>
      <c r="G45" s="16"/>
      <c r="H45" s="16"/>
    </row>
    <row r="46" spans="1:18" x14ac:dyDescent="0.35">
      <c r="B46" s="4"/>
    </row>
    <row r="47" spans="1:18" ht="32" x14ac:dyDescent="0.7">
      <c r="B47" s="17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O49" s="1" t="s">
        <v>74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 t="s">
        <v>22</v>
      </c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</row>
    <row r="53" spans="1:15" x14ac:dyDescent="0.35">
      <c r="B53" s="15"/>
      <c r="C53" s="15"/>
    </row>
  </sheetData>
  <mergeCells count="1">
    <mergeCell ref="B51:K51"/>
  </mergeCells>
  <pageMargins left="0.7" right="0.7" top="0.75" bottom="0.75" header="0.3" footer="0.3"/>
  <pageSetup paperSize="9" scale="6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V53"/>
  <sheetViews>
    <sheetView topLeftCell="A4" zoomScale="60" workbookViewId="0">
      <selection activeCell="H12" sqref="H12"/>
    </sheetView>
  </sheetViews>
  <sheetFormatPr defaultColWidth="9" defaultRowHeight="14.5" x14ac:dyDescent="0.35"/>
  <cols>
    <col min="1" max="1" width="4.81640625" style="1" customWidth="1"/>
    <col min="2" max="2" width="21.26953125" style="1" customWidth="1"/>
    <col min="3" max="3" width="30" style="1" customWidth="1"/>
    <col min="4" max="4" width="9.1796875" style="1" customWidth="1"/>
    <col min="5" max="5" width="16.7265625" style="1" customWidth="1"/>
    <col min="6" max="6" width="13.81640625" style="1" customWidth="1"/>
    <col min="7" max="7" width="0.54296875" style="1" customWidth="1"/>
    <col min="8" max="8" width="11.54296875" style="1" customWidth="1"/>
    <col min="9" max="9" width="11.816406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112</v>
      </c>
      <c r="N2" s="1" t="s">
        <v>71</v>
      </c>
      <c r="O2" s="1" t="s">
        <v>70</v>
      </c>
    </row>
    <row r="3" spans="2:15" x14ac:dyDescent="0.35">
      <c r="B3" s="1" t="str">
        <f>'FROM BOREHOLE'!B3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F4" s="1" t="s">
        <v>6</v>
      </c>
      <c r="G4" s="1" t="s">
        <v>6</v>
      </c>
      <c r="H4" s="1">
        <f>'FROM BOREHOLE'!H4+6-1</f>
        <v>20242006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C6" s="21" t="s">
        <v>83</v>
      </c>
      <c r="N6" s="1">
        <f t="shared" si="0"/>
        <v>11070</v>
      </c>
      <c r="O6" s="1">
        <v>11070</v>
      </c>
    </row>
    <row r="7" spans="2:15" x14ac:dyDescent="0.35">
      <c r="C7" s="22"/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ht="2.25" customHeight="1" x14ac:dyDescent="0.35">
      <c r="N14" s="1">
        <f t="shared" si="0"/>
        <v>11070</v>
      </c>
      <c r="O14" s="1">
        <v>11070</v>
      </c>
    </row>
    <row r="15" spans="2:15" ht="37.5" customHeight="1" x14ac:dyDescent="0.35">
      <c r="B15" s="7" t="s">
        <v>3</v>
      </c>
      <c r="C15" s="7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meter!D8</f>
        <v>4256</v>
      </c>
      <c r="C16" s="8">
        <f>meter!E8</f>
        <v>4256</v>
      </c>
      <c r="D16" s="8" t="s">
        <v>17</v>
      </c>
      <c r="E16" s="9">
        <f>C16-B16</f>
        <v>0</v>
      </c>
      <c r="N16" s="1">
        <f t="shared" si="0"/>
        <v>9420</v>
      </c>
      <c r="O16" s="1">
        <v>9420</v>
      </c>
    </row>
    <row r="17" spans="2:15" x14ac:dyDescent="0.35">
      <c r="E17" s="1" t="s">
        <v>43</v>
      </c>
      <c r="I17" s="11"/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18</v>
      </c>
      <c r="E18" s="11">
        <f>meter!J8</f>
        <v>0</v>
      </c>
      <c r="I18" s="11"/>
      <c r="N18" s="1">
        <f t="shared" si="0"/>
        <v>10430</v>
      </c>
      <c r="O18" s="1">
        <v>10430</v>
      </c>
    </row>
    <row r="19" spans="2:15" ht="15.5" x14ac:dyDescent="0.35">
      <c r="B19" s="10"/>
      <c r="I19" s="11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16</v>
      </c>
      <c r="E20" s="1">
        <f>meter!H8</f>
        <v>0</v>
      </c>
      <c r="I20" s="11"/>
      <c r="N20" s="1">
        <f t="shared" si="0"/>
        <v>10590</v>
      </c>
      <c r="O20" s="1">
        <v>10590</v>
      </c>
    </row>
    <row r="21" spans="2:15" x14ac:dyDescent="0.35">
      <c r="I21" s="11"/>
      <c r="N21" s="1">
        <f t="shared" si="0"/>
        <v>22423</v>
      </c>
      <c r="O21" s="1">
        <v>22423</v>
      </c>
    </row>
    <row r="22" spans="2:15" x14ac:dyDescent="0.35">
      <c r="I22" s="11"/>
      <c r="N22" s="1">
        <f t="shared" si="0"/>
        <v>9250</v>
      </c>
      <c r="O22" s="1">
        <v>9250</v>
      </c>
    </row>
    <row r="23" spans="2:15" x14ac:dyDescent="0.35">
      <c r="I23" s="11"/>
      <c r="N23" s="1">
        <f t="shared" si="0"/>
        <v>10162</v>
      </c>
      <c r="O23" s="1">
        <v>10162</v>
      </c>
    </row>
    <row r="24" spans="2:15" x14ac:dyDescent="0.35">
      <c r="E24" s="11"/>
      <c r="I24" s="11"/>
      <c r="N24" s="1">
        <f t="shared" si="0"/>
        <v>10270</v>
      </c>
      <c r="O24" s="1">
        <v>10270</v>
      </c>
    </row>
    <row r="25" spans="2:15" x14ac:dyDescent="0.35">
      <c r="E25" s="11"/>
      <c r="I25" s="11"/>
      <c r="N25" s="1">
        <f t="shared" si="0"/>
        <v>11070</v>
      </c>
      <c r="O25" s="1">
        <v>11070</v>
      </c>
    </row>
    <row r="26" spans="2:15" x14ac:dyDescent="0.35">
      <c r="C26" s="1">
        <f>'FROM BOREHOLE'!C26</f>
        <v>0</v>
      </c>
      <c r="I26" s="11"/>
      <c r="N26" s="1">
        <f t="shared" si="0"/>
        <v>11550</v>
      </c>
      <c r="O26" s="1">
        <v>11550</v>
      </c>
    </row>
    <row r="27" spans="2:15" x14ac:dyDescent="0.35">
      <c r="C27" s="12"/>
      <c r="E27" s="11"/>
      <c r="I27" s="11"/>
      <c r="N27" s="1">
        <f t="shared" si="0"/>
        <v>11393</v>
      </c>
      <c r="O27" s="1">
        <v>11393</v>
      </c>
    </row>
    <row r="28" spans="2:15" x14ac:dyDescent="0.35">
      <c r="E28" s="11"/>
      <c r="I28" s="11"/>
      <c r="N28" s="1">
        <f t="shared" si="0"/>
        <v>10802</v>
      </c>
      <c r="O28" s="1">
        <v>10802</v>
      </c>
    </row>
    <row r="29" spans="2:15" x14ac:dyDescent="0.35">
      <c r="E29" s="11"/>
      <c r="I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C30" s="1" t="s">
        <v>10</v>
      </c>
      <c r="D30" s="1" t="s">
        <v>19</v>
      </c>
      <c r="E30" s="11">
        <f>SUM(E17:E29)</f>
        <v>0</v>
      </c>
      <c r="G30" s="13"/>
      <c r="I30" s="11"/>
      <c r="J30" s="23"/>
      <c r="N30" s="1">
        <f t="shared" si="0"/>
        <v>9570</v>
      </c>
      <c r="O30" s="1">
        <v>9570</v>
      </c>
    </row>
    <row r="31" spans="2:15" x14ac:dyDescent="0.35">
      <c r="E31" s="11"/>
      <c r="I31" s="11"/>
      <c r="N31" s="1">
        <f t="shared" si="0"/>
        <v>11390</v>
      </c>
      <c r="O31" s="1">
        <v>11390</v>
      </c>
    </row>
    <row r="32" spans="2:15" x14ac:dyDescent="0.35">
      <c r="C32" s="1" t="s">
        <v>25</v>
      </c>
      <c r="E32" s="11">
        <v>0</v>
      </c>
      <c r="I32" s="11"/>
      <c r="N32" s="1">
        <f t="shared" si="0"/>
        <v>10750</v>
      </c>
      <c r="O32" s="1">
        <v>10750</v>
      </c>
    </row>
    <row r="33" spans="1:256" x14ac:dyDescent="0.35">
      <c r="E33" s="11"/>
      <c r="I33" s="11"/>
      <c r="N33" s="1">
        <f t="shared" si="0"/>
        <v>11732</v>
      </c>
      <c r="O33" s="1">
        <v>11732</v>
      </c>
    </row>
    <row r="34" spans="1:256" s="68" customFormat="1" x14ac:dyDescent="0.35">
      <c r="A34" s="65"/>
      <c r="B34" s="65"/>
      <c r="C34" s="65" t="s">
        <v>55</v>
      </c>
      <c r="D34" s="65"/>
      <c r="E34" s="66">
        <f>E30-E32</f>
        <v>0</v>
      </c>
      <c r="F34" s="65"/>
      <c r="G34" s="65"/>
      <c r="H34" s="65"/>
      <c r="I34" s="67"/>
      <c r="J34" s="65"/>
      <c r="K34" s="65"/>
      <c r="L34" s="65"/>
      <c r="M34" s="65"/>
      <c r="N34" s="65">
        <f t="shared" si="0"/>
        <v>10934</v>
      </c>
      <c r="O34" s="65">
        <v>10934</v>
      </c>
      <c r="P34" s="65"/>
      <c r="Q34" s="65"/>
      <c r="R34" s="65">
        <v>700</v>
      </c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65"/>
      <c r="EJ34" s="65"/>
      <c r="EK34" s="65"/>
      <c r="EL34" s="65"/>
      <c r="EM34" s="65"/>
      <c r="EN34" s="65"/>
      <c r="EO34" s="65"/>
      <c r="EP34" s="65"/>
      <c r="EQ34" s="65"/>
      <c r="ER34" s="65"/>
      <c r="ES34" s="65"/>
      <c r="ET34" s="65"/>
      <c r="EU34" s="65"/>
      <c r="EV34" s="65"/>
      <c r="EW34" s="65"/>
      <c r="EX34" s="65"/>
      <c r="EY34" s="65"/>
      <c r="EZ34" s="65"/>
      <c r="FA34" s="65"/>
      <c r="FB34" s="65"/>
      <c r="FC34" s="65"/>
      <c r="FD34" s="65"/>
      <c r="FE34" s="65"/>
      <c r="FF34" s="65"/>
      <c r="FG34" s="65"/>
      <c r="FH34" s="65"/>
      <c r="FI34" s="65"/>
      <c r="FJ34" s="65"/>
      <c r="FK34" s="65"/>
      <c r="FL34" s="65"/>
      <c r="FM34" s="65"/>
      <c r="FN34" s="65"/>
      <c r="FO34" s="65"/>
      <c r="FP34" s="65"/>
      <c r="FQ34" s="65"/>
      <c r="FR34" s="65"/>
      <c r="FS34" s="65"/>
      <c r="FT34" s="65"/>
      <c r="FU34" s="65"/>
      <c r="FV34" s="65"/>
      <c r="FW34" s="65"/>
      <c r="FX34" s="65"/>
      <c r="FY34" s="65"/>
      <c r="FZ34" s="65"/>
      <c r="GA34" s="65"/>
      <c r="GB34" s="65"/>
      <c r="GC34" s="65"/>
      <c r="GD34" s="65"/>
      <c r="GE34" s="65"/>
      <c r="GF34" s="65"/>
      <c r="GG34" s="65"/>
      <c r="GH34" s="65"/>
      <c r="GI34" s="65"/>
      <c r="GJ34" s="65"/>
      <c r="GK34" s="65"/>
      <c r="GL34" s="65"/>
      <c r="GM34" s="65"/>
      <c r="GN34" s="65"/>
      <c r="GO34" s="65"/>
      <c r="GP34" s="65"/>
      <c r="GQ34" s="65"/>
      <c r="GR34" s="65"/>
      <c r="GS34" s="65"/>
      <c r="GT34" s="65"/>
      <c r="GU34" s="65"/>
      <c r="GV34" s="65"/>
      <c r="GW34" s="65"/>
      <c r="GX34" s="65"/>
      <c r="GY34" s="65"/>
      <c r="GZ34" s="65"/>
      <c r="HA34" s="65"/>
      <c r="HB34" s="65"/>
      <c r="HC34" s="65"/>
      <c r="HD34" s="65"/>
      <c r="HE34" s="65"/>
      <c r="HF34" s="65"/>
      <c r="HG34" s="65"/>
      <c r="HH34" s="65"/>
      <c r="HI34" s="65"/>
      <c r="HJ34" s="65"/>
      <c r="HK34" s="65"/>
      <c r="HL34" s="65"/>
      <c r="HM34" s="65"/>
      <c r="HN34" s="65"/>
      <c r="HO34" s="65"/>
      <c r="HP34" s="65"/>
      <c r="HQ34" s="65"/>
      <c r="HR34" s="65"/>
      <c r="HS34" s="65"/>
      <c r="HT34" s="65"/>
      <c r="HU34" s="65"/>
      <c r="HV34" s="65"/>
      <c r="HW34" s="65"/>
      <c r="HX34" s="65"/>
      <c r="HY34" s="65"/>
      <c r="HZ34" s="65"/>
      <c r="IA34" s="65"/>
      <c r="IB34" s="65"/>
      <c r="IC34" s="65"/>
      <c r="ID34" s="65"/>
      <c r="IE34" s="65"/>
      <c r="IF34" s="65"/>
      <c r="IG34" s="65"/>
      <c r="IH34" s="65"/>
      <c r="II34" s="65"/>
      <c r="IJ34" s="65"/>
      <c r="IK34" s="65"/>
      <c r="IL34" s="65"/>
      <c r="IM34" s="65"/>
      <c r="IN34" s="65"/>
      <c r="IO34" s="65"/>
      <c r="IP34" s="65"/>
      <c r="IQ34" s="65"/>
      <c r="IR34" s="65"/>
      <c r="IS34" s="65"/>
      <c r="IT34" s="65"/>
      <c r="IU34" s="65"/>
      <c r="IV34" s="65"/>
    </row>
    <row r="35" spans="1:256" ht="15.5" x14ac:dyDescent="0.35">
      <c r="B35" s="10" t="s">
        <v>11</v>
      </c>
      <c r="C35" s="4"/>
      <c r="I35" s="11"/>
      <c r="N35" s="1">
        <f t="shared" si="0"/>
        <v>10270</v>
      </c>
      <c r="O35" s="1">
        <v>10270</v>
      </c>
    </row>
    <row r="36" spans="1:256" ht="18.5" x14ac:dyDescent="0.45">
      <c r="A36" s="1" t="s">
        <v>44</v>
      </c>
      <c r="B36" s="14"/>
      <c r="I36" s="11"/>
      <c r="N36" s="1">
        <f t="shared" si="0"/>
        <v>10598</v>
      </c>
      <c r="O36" s="1">
        <v>10598</v>
      </c>
    </row>
    <row r="37" spans="1:256" x14ac:dyDescent="0.35">
      <c r="A37" s="1" t="s">
        <v>45</v>
      </c>
      <c r="B37" s="15"/>
      <c r="N37" s="1">
        <f t="shared" si="0"/>
        <v>8770</v>
      </c>
      <c r="O37" s="1">
        <v>8770</v>
      </c>
    </row>
    <row r="38" spans="1:256" x14ac:dyDescent="0.35">
      <c r="B38" s="15"/>
      <c r="I38" s="13"/>
      <c r="N38" s="1">
        <f t="shared" si="0"/>
        <v>8770</v>
      </c>
      <c r="O38" s="1">
        <v>8770</v>
      </c>
    </row>
    <row r="39" spans="1:256" x14ac:dyDescent="0.35">
      <c r="A39" s="1" t="s">
        <v>46</v>
      </c>
      <c r="B39" s="15"/>
      <c r="O39" s="1">
        <f>SUM(O3:O38)</f>
        <v>391268</v>
      </c>
      <c r="Q39" s="1">
        <f>SUM(Q3:Q38)</f>
        <v>0</v>
      </c>
    </row>
    <row r="40" spans="1:256" hidden="1" x14ac:dyDescent="0.35">
      <c r="B40" s="15"/>
      <c r="I40" s="13"/>
    </row>
    <row r="41" spans="1:256" x14ac:dyDescent="0.35">
      <c r="A41" s="1" t="s">
        <v>47</v>
      </c>
      <c r="B41" s="15"/>
      <c r="I41" s="11"/>
    </row>
    <row r="42" spans="1:256" x14ac:dyDescent="0.35">
      <c r="A42" s="1" t="s">
        <v>48</v>
      </c>
      <c r="B42" s="15"/>
      <c r="I42" s="11"/>
    </row>
    <row r="43" spans="1:256" x14ac:dyDescent="0.35">
      <c r="A43" s="1" t="s">
        <v>49</v>
      </c>
      <c r="B43" s="4"/>
      <c r="I43" s="11"/>
    </row>
    <row r="44" spans="1:256" x14ac:dyDescent="0.35">
      <c r="B44" s="4"/>
      <c r="I44" s="11"/>
    </row>
    <row r="45" spans="1:256" x14ac:dyDescent="0.35">
      <c r="A45" s="16"/>
      <c r="B45" s="4"/>
      <c r="G45" s="16"/>
      <c r="H45" s="16"/>
    </row>
    <row r="46" spans="1:256" x14ac:dyDescent="0.35">
      <c r="B46" s="4"/>
    </row>
    <row r="47" spans="1:256" ht="32" x14ac:dyDescent="0.7">
      <c r="B47" s="17"/>
      <c r="C47" s="18"/>
      <c r="D47" s="18"/>
      <c r="E47" s="18"/>
    </row>
    <row r="48" spans="1:256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O49" s="1" t="s">
        <v>74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/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</row>
    <row r="53" spans="1:15" x14ac:dyDescent="0.35">
      <c r="B53" s="15"/>
      <c r="C53" s="15"/>
    </row>
  </sheetData>
  <mergeCells count="1">
    <mergeCell ref="B51:K51"/>
  </mergeCells>
  <pageMargins left="0.7" right="0.7" top="0.75" bottom="0.75" header="0.3" footer="0.3"/>
  <pageSetup paperSize="9" scale="6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V53"/>
  <sheetViews>
    <sheetView zoomScale="60" workbookViewId="0">
      <selection activeCell="E9" sqref="E9"/>
    </sheetView>
  </sheetViews>
  <sheetFormatPr defaultColWidth="9" defaultRowHeight="14.5" x14ac:dyDescent="0.35"/>
  <cols>
    <col min="1" max="1" width="9.1796875" style="1" customWidth="1"/>
    <col min="2" max="2" width="21.54296875" style="1" customWidth="1"/>
    <col min="3" max="3" width="40" style="1" customWidth="1"/>
    <col min="4" max="4" width="13.81640625" style="1" customWidth="1"/>
    <col min="5" max="5" width="17.7265625" style="1" customWidth="1"/>
    <col min="6" max="6" width="9.54296875" style="1" hidden="1" customWidth="1"/>
    <col min="7" max="7" width="9.1796875" style="1" customWidth="1"/>
    <col min="8" max="8" width="13.1796875" style="1" customWidth="1"/>
    <col min="9" max="9" width="17.5429687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112</v>
      </c>
      <c r="N2" s="1" t="s">
        <v>71</v>
      </c>
      <c r="O2" s="1" t="s">
        <v>70</v>
      </c>
    </row>
    <row r="3" spans="2:15" x14ac:dyDescent="0.35">
      <c r="B3" s="1" t="str">
        <f>'FROM BOREHOLE'!B3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'FROM BOREHOLE'!H4+7-1</f>
        <v>20242007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C6" s="4" t="str">
        <f>meter!A9</f>
        <v>BLOCK B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C9" s="5"/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23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C15" s="7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meter!D9</f>
        <v>1099</v>
      </c>
      <c r="C16" s="8">
        <f>meter!E9</f>
        <v>1099</v>
      </c>
      <c r="D16" s="8" t="s">
        <v>17</v>
      </c>
      <c r="E16" s="9">
        <f>C16-B16</f>
        <v>0</v>
      </c>
      <c r="N16" s="1">
        <f t="shared" si="0"/>
        <v>9420</v>
      </c>
      <c r="O16" s="1">
        <v>9420</v>
      </c>
    </row>
    <row r="17" spans="2:15" x14ac:dyDescent="0.35">
      <c r="E17" s="1" t="s">
        <v>42</v>
      </c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18</v>
      </c>
      <c r="E18" s="11">
        <f>meter!J9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16</v>
      </c>
      <c r="E20" s="1">
        <f>meter!H9</f>
        <v>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E24" s="11"/>
      <c r="N24" s="1">
        <f t="shared" si="0"/>
        <v>10270</v>
      </c>
      <c r="O24" s="1">
        <v>10270</v>
      </c>
    </row>
    <row r="25" spans="2:15" x14ac:dyDescent="0.35">
      <c r="E25" s="11"/>
      <c r="N25" s="1">
        <f t="shared" si="0"/>
        <v>11070</v>
      </c>
      <c r="O25" s="1">
        <v>11070</v>
      </c>
    </row>
    <row r="26" spans="2:15" x14ac:dyDescent="0.35">
      <c r="C26" s="1">
        <f>'FROM BOREHOLE'!C26</f>
        <v>0</v>
      </c>
      <c r="D26" s="1">
        <f>'FROM BOREHOLE'!D26</f>
        <v>0</v>
      </c>
      <c r="N26" s="1">
        <f t="shared" si="0"/>
        <v>11550</v>
      </c>
      <c r="O26" s="1">
        <v>11550</v>
      </c>
    </row>
    <row r="27" spans="2:15" x14ac:dyDescent="0.35">
      <c r="C27" s="12"/>
      <c r="E27" s="11"/>
      <c r="N27" s="1">
        <f t="shared" si="0"/>
        <v>11393</v>
      </c>
      <c r="O27" s="1">
        <v>11393</v>
      </c>
    </row>
    <row r="28" spans="2:15" x14ac:dyDescent="0.35">
      <c r="E28" s="11">
        <f>IF(E18*6%*3&lt;0,0,E18*6%*3)</f>
        <v>0</v>
      </c>
      <c r="N28" s="1">
        <f t="shared" si="0"/>
        <v>10802</v>
      </c>
      <c r="O28" s="1">
        <v>10802</v>
      </c>
    </row>
    <row r="29" spans="2:15" x14ac:dyDescent="0.35">
      <c r="E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C30" s="1" t="s">
        <v>10</v>
      </c>
      <c r="D30" s="1" t="s">
        <v>19</v>
      </c>
      <c r="E30" s="11">
        <f>SUM(E17:E29)</f>
        <v>0</v>
      </c>
      <c r="G30" s="13"/>
      <c r="N30" s="1">
        <f t="shared" si="0"/>
        <v>9570</v>
      </c>
      <c r="O30" s="1">
        <v>9570</v>
      </c>
    </row>
    <row r="31" spans="2:15" x14ac:dyDescent="0.35">
      <c r="E31" s="11"/>
      <c r="N31" s="1">
        <f t="shared" si="0"/>
        <v>11390</v>
      </c>
      <c r="O31" s="1">
        <v>11390</v>
      </c>
    </row>
    <row r="32" spans="2:15" x14ac:dyDescent="0.35">
      <c r="C32" s="1" t="s">
        <v>25</v>
      </c>
      <c r="E32" s="11">
        <v>0</v>
      </c>
      <c r="N32" s="1">
        <f t="shared" si="0"/>
        <v>10750</v>
      </c>
      <c r="O32" s="1">
        <v>10750</v>
      </c>
    </row>
    <row r="33" spans="1:256" x14ac:dyDescent="0.35">
      <c r="E33" s="11"/>
      <c r="N33" s="1">
        <f t="shared" si="0"/>
        <v>11732</v>
      </c>
      <c r="O33" s="1">
        <v>11732</v>
      </c>
    </row>
    <row r="34" spans="1:256" s="68" customFormat="1" x14ac:dyDescent="0.35">
      <c r="A34" s="65"/>
      <c r="B34" s="65"/>
      <c r="C34" s="65" t="s">
        <v>55</v>
      </c>
      <c r="D34" s="65"/>
      <c r="E34" s="66">
        <f>E30-E32</f>
        <v>0</v>
      </c>
      <c r="F34" s="65"/>
      <c r="G34" s="65"/>
      <c r="H34" s="65"/>
      <c r="I34" s="65"/>
      <c r="J34" s="65"/>
      <c r="K34" s="65"/>
      <c r="L34" s="65"/>
      <c r="M34" s="65"/>
      <c r="N34" s="65">
        <f t="shared" si="0"/>
        <v>10934</v>
      </c>
      <c r="O34" s="65">
        <v>10934</v>
      </c>
      <c r="P34" s="65"/>
      <c r="Q34" s="65"/>
      <c r="R34" s="65">
        <v>700</v>
      </c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65"/>
      <c r="EJ34" s="65"/>
      <c r="EK34" s="65"/>
      <c r="EL34" s="65"/>
      <c r="EM34" s="65"/>
      <c r="EN34" s="65"/>
      <c r="EO34" s="65"/>
      <c r="EP34" s="65"/>
      <c r="EQ34" s="65"/>
      <c r="ER34" s="65"/>
      <c r="ES34" s="65"/>
      <c r="ET34" s="65"/>
      <c r="EU34" s="65"/>
      <c r="EV34" s="65"/>
      <c r="EW34" s="65"/>
      <c r="EX34" s="65"/>
      <c r="EY34" s="65"/>
      <c r="EZ34" s="65"/>
      <c r="FA34" s="65"/>
      <c r="FB34" s="65"/>
      <c r="FC34" s="65"/>
      <c r="FD34" s="65"/>
      <c r="FE34" s="65"/>
      <c r="FF34" s="65"/>
      <c r="FG34" s="65"/>
      <c r="FH34" s="65"/>
      <c r="FI34" s="65"/>
      <c r="FJ34" s="65"/>
      <c r="FK34" s="65"/>
      <c r="FL34" s="65"/>
      <c r="FM34" s="65"/>
      <c r="FN34" s="65"/>
      <c r="FO34" s="65"/>
      <c r="FP34" s="65"/>
      <c r="FQ34" s="65"/>
      <c r="FR34" s="65"/>
      <c r="FS34" s="65"/>
      <c r="FT34" s="65"/>
      <c r="FU34" s="65"/>
      <c r="FV34" s="65"/>
      <c r="FW34" s="65"/>
      <c r="FX34" s="65"/>
      <c r="FY34" s="65"/>
      <c r="FZ34" s="65"/>
      <c r="GA34" s="65"/>
      <c r="GB34" s="65"/>
      <c r="GC34" s="65"/>
      <c r="GD34" s="65"/>
      <c r="GE34" s="65"/>
      <c r="GF34" s="65"/>
      <c r="GG34" s="65"/>
      <c r="GH34" s="65"/>
      <c r="GI34" s="65"/>
      <c r="GJ34" s="65"/>
      <c r="GK34" s="65"/>
      <c r="GL34" s="65"/>
      <c r="GM34" s="65"/>
      <c r="GN34" s="65"/>
      <c r="GO34" s="65"/>
      <c r="GP34" s="65"/>
      <c r="GQ34" s="65"/>
      <c r="GR34" s="65"/>
      <c r="GS34" s="65"/>
      <c r="GT34" s="65"/>
      <c r="GU34" s="65"/>
      <c r="GV34" s="65"/>
      <c r="GW34" s="65"/>
      <c r="GX34" s="65"/>
      <c r="GY34" s="65"/>
      <c r="GZ34" s="65"/>
      <c r="HA34" s="65"/>
      <c r="HB34" s="65"/>
      <c r="HC34" s="65"/>
      <c r="HD34" s="65"/>
      <c r="HE34" s="65"/>
      <c r="HF34" s="65"/>
      <c r="HG34" s="65"/>
      <c r="HH34" s="65"/>
      <c r="HI34" s="65"/>
      <c r="HJ34" s="65"/>
      <c r="HK34" s="65"/>
      <c r="HL34" s="65"/>
      <c r="HM34" s="65"/>
      <c r="HN34" s="65"/>
      <c r="HO34" s="65"/>
      <c r="HP34" s="65"/>
      <c r="HQ34" s="65"/>
      <c r="HR34" s="65"/>
      <c r="HS34" s="65"/>
      <c r="HT34" s="65"/>
      <c r="HU34" s="65"/>
      <c r="HV34" s="65"/>
      <c r="HW34" s="65"/>
      <c r="HX34" s="65"/>
      <c r="HY34" s="65"/>
      <c r="HZ34" s="65"/>
      <c r="IA34" s="65"/>
      <c r="IB34" s="65"/>
      <c r="IC34" s="65"/>
      <c r="ID34" s="65"/>
      <c r="IE34" s="65"/>
      <c r="IF34" s="65"/>
      <c r="IG34" s="65"/>
      <c r="IH34" s="65"/>
      <c r="II34" s="65"/>
      <c r="IJ34" s="65"/>
      <c r="IK34" s="65"/>
      <c r="IL34" s="65"/>
      <c r="IM34" s="65"/>
      <c r="IN34" s="65"/>
      <c r="IO34" s="65"/>
      <c r="IP34" s="65"/>
      <c r="IQ34" s="65"/>
      <c r="IR34" s="65"/>
      <c r="IS34" s="65"/>
      <c r="IT34" s="65"/>
      <c r="IU34" s="65"/>
      <c r="IV34" s="65"/>
    </row>
    <row r="35" spans="1:256" ht="15.5" x14ac:dyDescent="0.35">
      <c r="B35" s="10" t="s">
        <v>11</v>
      </c>
      <c r="N35" s="1">
        <f t="shared" si="0"/>
        <v>10270</v>
      </c>
      <c r="O35" s="1">
        <v>10270</v>
      </c>
    </row>
    <row r="36" spans="1:256" ht="18.5" x14ac:dyDescent="0.45">
      <c r="A36" s="1" t="s">
        <v>44</v>
      </c>
      <c r="B36" s="14"/>
      <c r="N36" s="1">
        <f t="shared" si="0"/>
        <v>10598</v>
      </c>
      <c r="O36" s="1">
        <v>10598</v>
      </c>
    </row>
    <row r="37" spans="1:256" x14ac:dyDescent="0.35">
      <c r="A37" s="1" t="s">
        <v>45</v>
      </c>
      <c r="B37" s="15"/>
      <c r="N37" s="1">
        <f t="shared" si="0"/>
        <v>8770</v>
      </c>
      <c r="O37" s="1">
        <v>8770</v>
      </c>
    </row>
    <row r="38" spans="1:256" x14ac:dyDescent="0.35">
      <c r="B38" s="15"/>
      <c r="N38" s="1">
        <f t="shared" si="0"/>
        <v>8770</v>
      </c>
      <c r="O38" s="1">
        <v>8770</v>
      </c>
    </row>
    <row r="39" spans="1:256" x14ac:dyDescent="0.35">
      <c r="A39" s="1" t="s">
        <v>46</v>
      </c>
      <c r="B39" s="15"/>
      <c r="O39" s="1">
        <f>SUM(O3:O38)</f>
        <v>391268</v>
      </c>
      <c r="Q39" s="1">
        <f>SUM(Q3:Q38)</f>
        <v>0</v>
      </c>
    </row>
    <row r="40" spans="1:256" hidden="1" x14ac:dyDescent="0.35">
      <c r="B40" s="15"/>
    </row>
    <row r="41" spans="1:256" x14ac:dyDescent="0.35">
      <c r="A41" s="1" t="s">
        <v>47</v>
      </c>
      <c r="B41" s="15"/>
    </row>
    <row r="42" spans="1:256" x14ac:dyDescent="0.35">
      <c r="A42" s="1" t="s">
        <v>48</v>
      </c>
      <c r="B42" s="15"/>
      <c r="I42" s="16"/>
    </row>
    <row r="43" spans="1:256" x14ac:dyDescent="0.35">
      <c r="A43" s="1" t="s">
        <v>49</v>
      </c>
      <c r="B43" s="4"/>
    </row>
    <row r="44" spans="1:256" x14ac:dyDescent="0.35">
      <c r="B44" s="4"/>
    </row>
    <row r="45" spans="1:256" x14ac:dyDescent="0.35">
      <c r="A45" s="16"/>
      <c r="B45" s="4"/>
      <c r="G45" s="16"/>
      <c r="H45" s="16"/>
    </row>
    <row r="46" spans="1:256" x14ac:dyDescent="0.35">
      <c r="B46" s="4"/>
    </row>
    <row r="47" spans="1:256" ht="32" x14ac:dyDescent="0.7">
      <c r="B47" s="17"/>
      <c r="C47" s="18"/>
      <c r="D47" s="18"/>
      <c r="E47" s="18"/>
    </row>
    <row r="48" spans="1:256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O49" s="1" t="s">
        <v>74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/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</row>
    <row r="53" spans="1:15" x14ac:dyDescent="0.35">
      <c r="B53" s="15"/>
      <c r="C53" s="15"/>
    </row>
  </sheetData>
  <mergeCells count="1">
    <mergeCell ref="B51:K51"/>
  </mergeCells>
  <pageMargins left="0.7" right="0.7" top="0.75" bottom="0.75" header="0.3" footer="0.3"/>
  <pageSetup paperSize="9" scale="6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V53"/>
  <sheetViews>
    <sheetView zoomScale="60" workbookViewId="0">
      <selection activeCell="H14" sqref="H14"/>
    </sheetView>
  </sheetViews>
  <sheetFormatPr defaultColWidth="9" defaultRowHeight="14.5" x14ac:dyDescent="0.35"/>
  <cols>
    <col min="1" max="1" width="5.81640625" style="1" customWidth="1"/>
    <col min="2" max="2" width="22.7265625" style="1" customWidth="1"/>
    <col min="3" max="3" width="31.54296875" style="1" customWidth="1"/>
    <col min="4" max="4" width="9.1796875" style="1" customWidth="1"/>
    <col min="5" max="5" width="15.7265625" style="1" customWidth="1"/>
    <col min="6" max="6" width="9.1796875" style="1" hidden="1" customWidth="1"/>
    <col min="7" max="7" width="9.1796875" style="1" customWidth="1"/>
    <col min="8" max="8" width="13.7265625" style="1" customWidth="1"/>
    <col min="9" max="9" width="20.72656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112</v>
      </c>
      <c r="N2" s="1" t="s">
        <v>71</v>
      </c>
      <c r="O2" s="1" t="s">
        <v>70</v>
      </c>
    </row>
    <row r="3" spans="2:15" x14ac:dyDescent="0.35">
      <c r="B3" s="1" t="str">
        <f>'FROM BOREHOLE'!B3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'FROM BOREHOLE'!H4+8-1</f>
        <v>20242008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C6" s="4" t="str">
        <f>meter!A10</f>
        <v>NEW BLOCK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C8" s="24"/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C15" s="7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meter!D10</f>
        <v>4205</v>
      </c>
      <c r="C16" s="8">
        <f>meter!E10</f>
        <v>4205</v>
      </c>
      <c r="D16" s="8" t="s">
        <v>17</v>
      </c>
      <c r="E16" s="9">
        <f>C16-B16</f>
        <v>0</v>
      </c>
      <c r="N16" s="1">
        <f t="shared" si="0"/>
        <v>9420</v>
      </c>
      <c r="O16" s="1">
        <v>9420</v>
      </c>
    </row>
    <row r="17" spans="2:15" x14ac:dyDescent="0.35">
      <c r="E17" s="1" t="s">
        <v>41</v>
      </c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18</v>
      </c>
      <c r="E18" s="11">
        <f>meter!J10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16</v>
      </c>
      <c r="E20" s="1">
        <f>meter!H10</f>
        <v>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E24" s="11"/>
      <c r="N24" s="1">
        <f t="shared" si="0"/>
        <v>10270</v>
      </c>
      <c r="O24" s="1">
        <v>10270</v>
      </c>
    </row>
    <row r="25" spans="2:15" x14ac:dyDescent="0.35">
      <c r="E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C27" s="12"/>
      <c r="D27" s="12"/>
      <c r="E27" s="11"/>
      <c r="N27" s="1">
        <f t="shared" si="0"/>
        <v>11393</v>
      </c>
      <c r="O27" s="1">
        <v>11393</v>
      </c>
    </row>
    <row r="28" spans="2:15" x14ac:dyDescent="0.35">
      <c r="E28" s="11"/>
      <c r="N28" s="1">
        <f t="shared" si="0"/>
        <v>10802</v>
      </c>
      <c r="O28" s="1">
        <v>10802</v>
      </c>
    </row>
    <row r="29" spans="2:15" x14ac:dyDescent="0.35">
      <c r="E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C30" s="1" t="s">
        <v>10</v>
      </c>
      <c r="D30" s="1" t="s">
        <v>19</v>
      </c>
      <c r="E30" s="11">
        <f>SUM(E17:E29)</f>
        <v>0</v>
      </c>
      <c r="G30" s="13"/>
      <c r="N30" s="1">
        <f t="shared" si="0"/>
        <v>9570</v>
      </c>
      <c r="O30" s="1">
        <v>9570</v>
      </c>
    </row>
    <row r="31" spans="2:15" x14ac:dyDescent="0.35">
      <c r="E31" s="11"/>
      <c r="N31" s="1">
        <f t="shared" si="0"/>
        <v>11390</v>
      </c>
      <c r="O31" s="1">
        <v>11390</v>
      </c>
    </row>
    <row r="32" spans="2:15" x14ac:dyDescent="0.35">
      <c r="C32" s="1" t="s">
        <v>25</v>
      </c>
      <c r="E32" s="11">
        <f>meter!L10</f>
        <v>0</v>
      </c>
      <c r="N32" s="1">
        <f t="shared" si="0"/>
        <v>10750</v>
      </c>
      <c r="O32" s="1">
        <v>10750</v>
      </c>
    </row>
    <row r="33" spans="1:18" x14ac:dyDescent="0.35">
      <c r="E33" s="11"/>
      <c r="N33" s="1">
        <f t="shared" si="0"/>
        <v>11732</v>
      </c>
      <c r="O33" s="1">
        <v>11732</v>
      </c>
    </row>
    <row r="34" spans="1:18" x14ac:dyDescent="0.35">
      <c r="C34" s="1" t="s">
        <v>55</v>
      </c>
      <c r="E34" s="13">
        <f>E30-E32</f>
        <v>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10" t="s">
        <v>11</v>
      </c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/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N37" s="1">
        <f t="shared" si="0"/>
        <v>8770</v>
      </c>
      <c r="O37" s="1">
        <v>8770</v>
      </c>
    </row>
    <row r="38" spans="1:18" x14ac:dyDescent="0.35">
      <c r="B38" s="15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47</v>
      </c>
      <c r="B41" s="15"/>
    </row>
    <row r="42" spans="1:18" x14ac:dyDescent="0.35">
      <c r="A42" s="1" t="s">
        <v>48</v>
      </c>
      <c r="B42" s="15"/>
      <c r="I42" s="16"/>
    </row>
    <row r="43" spans="1:18" x14ac:dyDescent="0.35">
      <c r="A43" s="1" t="s">
        <v>49</v>
      </c>
      <c r="B43" s="4"/>
    </row>
    <row r="44" spans="1:18" x14ac:dyDescent="0.35">
      <c r="B44" s="4"/>
    </row>
    <row r="45" spans="1:18" x14ac:dyDescent="0.35">
      <c r="A45" s="16"/>
      <c r="B45" s="4"/>
      <c r="G45" s="16"/>
      <c r="H45" s="16"/>
    </row>
    <row r="46" spans="1:18" x14ac:dyDescent="0.35">
      <c r="B46" s="4"/>
    </row>
    <row r="47" spans="1:18" ht="32" x14ac:dyDescent="0.7">
      <c r="B47" s="17"/>
      <c r="C47" s="18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O49" s="1" t="s">
        <v>74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/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</row>
    <row r="53" spans="1:15" x14ac:dyDescent="0.35">
      <c r="B53" s="15"/>
      <c r="C53" s="15"/>
    </row>
  </sheetData>
  <mergeCells count="1">
    <mergeCell ref="B51:K51"/>
  </mergeCells>
  <pageMargins left="0.7" right="0.7" top="0.75" bottom="0.75" header="0.3" footer="0.3"/>
  <pageSetup paperSize="9" scale="64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V54"/>
  <sheetViews>
    <sheetView zoomScale="60" workbookViewId="0">
      <selection activeCell="H10" sqref="H10"/>
    </sheetView>
  </sheetViews>
  <sheetFormatPr defaultColWidth="9" defaultRowHeight="14.5" x14ac:dyDescent="0.35"/>
  <cols>
    <col min="1" max="1" width="9.1796875" style="1" customWidth="1"/>
    <col min="2" max="2" width="23.7265625" style="1" customWidth="1"/>
    <col min="3" max="3" width="24.54296875" style="1" customWidth="1"/>
    <col min="4" max="4" width="5.1796875" style="1" customWidth="1"/>
    <col min="5" max="5" width="12.54296875" style="1" customWidth="1"/>
    <col min="6" max="7" width="9.1796875" style="1" customWidth="1"/>
    <col min="8" max="8" width="13.81640625" style="1" customWidth="1"/>
    <col min="9" max="9" width="12.4531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112</v>
      </c>
      <c r="N2" s="1" t="s">
        <v>71</v>
      </c>
      <c r="O2" s="1" t="s">
        <v>70</v>
      </c>
    </row>
    <row r="3" spans="2:15" x14ac:dyDescent="0.35">
      <c r="B3" s="1" t="str">
        <f>'FROM BOREHOLE'!B3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'FROM BOREHOLE'!H4+9-1</f>
        <v>20242009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C6" s="4" t="str">
        <f>meter!A11</f>
        <v>HOUSE JOHN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C15" s="7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meter!D11</f>
        <v>56</v>
      </c>
      <c r="C16" s="8">
        <f>meter!E11</f>
        <v>56</v>
      </c>
      <c r="D16" s="8" t="s">
        <v>17</v>
      </c>
      <c r="E16" s="9">
        <f>C16-B16</f>
        <v>0</v>
      </c>
      <c r="N16" s="1">
        <f t="shared" si="0"/>
        <v>9420</v>
      </c>
      <c r="O16" s="1">
        <v>9420</v>
      </c>
    </row>
    <row r="17" spans="2:15" x14ac:dyDescent="0.35">
      <c r="E17" s="1" t="s">
        <v>41</v>
      </c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18</v>
      </c>
      <c r="E18" s="11">
        <f>meter!J11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16</v>
      </c>
      <c r="E20" s="1">
        <f>meter!H11</f>
        <v>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E24" s="11"/>
      <c r="N24" s="1">
        <f t="shared" si="0"/>
        <v>10270</v>
      </c>
      <c r="O24" s="1">
        <v>10270</v>
      </c>
    </row>
    <row r="25" spans="2:15" x14ac:dyDescent="0.35">
      <c r="E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C27" s="12"/>
      <c r="D27" s="12"/>
      <c r="E27" s="11"/>
      <c r="N27" s="1">
        <f t="shared" si="0"/>
        <v>11393</v>
      </c>
      <c r="O27" s="1">
        <v>11393</v>
      </c>
    </row>
    <row r="28" spans="2:15" x14ac:dyDescent="0.35">
      <c r="E28" s="11">
        <f>IF(E18*4%*1&lt;0,0,E18*4%*1)</f>
        <v>0</v>
      </c>
      <c r="N28" s="1">
        <f t="shared" si="0"/>
        <v>10802</v>
      </c>
      <c r="O28" s="1">
        <v>10802</v>
      </c>
    </row>
    <row r="29" spans="2:15" x14ac:dyDescent="0.35">
      <c r="E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C30" s="1" t="s">
        <v>10</v>
      </c>
      <c r="D30" s="1" t="s">
        <v>19</v>
      </c>
      <c r="E30" s="11">
        <f>SUM(E17:E29)</f>
        <v>0</v>
      </c>
      <c r="G30" s="13"/>
      <c r="N30" s="1">
        <f t="shared" si="0"/>
        <v>9570</v>
      </c>
      <c r="O30" s="1">
        <v>9570</v>
      </c>
    </row>
    <row r="31" spans="2:15" x14ac:dyDescent="0.35">
      <c r="E31" s="11"/>
      <c r="N31" s="1">
        <f t="shared" si="0"/>
        <v>11390</v>
      </c>
      <c r="O31" s="1">
        <v>11390</v>
      </c>
    </row>
    <row r="32" spans="2:15" x14ac:dyDescent="0.35">
      <c r="C32" s="1" t="s">
        <v>25</v>
      </c>
      <c r="E32" s="11">
        <f>meter!L11</f>
        <v>0</v>
      </c>
      <c r="N32" s="1">
        <f t="shared" si="0"/>
        <v>10750</v>
      </c>
      <c r="O32" s="1">
        <v>10750</v>
      </c>
    </row>
    <row r="33" spans="1:18" x14ac:dyDescent="0.35">
      <c r="E33" s="11"/>
      <c r="N33" s="1">
        <f t="shared" si="0"/>
        <v>11732</v>
      </c>
      <c r="O33" s="1">
        <v>11732</v>
      </c>
    </row>
    <row r="34" spans="1:18" x14ac:dyDescent="0.35">
      <c r="C34" s="1" t="s">
        <v>55</v>
      </c>
      <c r="E34" s="13">
        <f>E30-E32</f>
        <v>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10" t="s">
        <v>11</v>
      </c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/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N37" s="1">
        <f t="shared" si="0"/>
        <v>8770</v>
      </c>
      <c r="O37" s="1">
        <v>8770</v>
      </c>
    </row>
    <row r="38" spans="1:18" x14ac:dyDescent="0.35">
      <c r="B38" s="15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47</v>
      </c>
      <c r="B41" s="15"/>
    </row>
    <row r="42" spans="1:18" x14ac:dyDescent="0.35">
      <c r="A42" s="1" t="s">
        <v>48</v>
      </c>
      <c r="B42" s="15"/>
      <c r="I42" s="16"/>
    </row>
    <row r="43" spans="1:18" x14ac:dyDescent="0.35">
      <c r="A43" s="1" t="s">
        <v>49</v>
      </c>
      <c r="B43" s="4"/>
    </row>
    <row r="44" spans="1:18" x14ac:dyDescent="0.35">
      <c r="B44" s="4"/>
    </row>
    <row r="45" spans="1:18" x14ac:dyDescent="0.35">
      <c r="A45" s="16"/>
      <c r="B45" s="4"/>
      <c r="G45" s="16"/>
      <c r="H45" s="16"/>
    </row>
    <row r="46" spans="1:18" x14ac:dyDescent="0.35">
      <c r="B46" s="4"/>
    </row>
    <row r="47" spans="1:18" ht="32" x14ac:dyDescent="0.7">
      <c r="B47" s="17"/>
      <c r="C47" s="18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O49" s="1" t="s">
        <v>74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/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</row>
    <row r="53" spans="1:15" x14ac:dyDescent="0.35">
      <c r="B53" s="15"/>
      <c r="C53" s="15"/>
    </row>
    <row r="54" spans="1:15" x14ac:dyDescent="0.35">
      <c r="I54" s="1" t="s">
        <v>31</v>
      </c>
    </row>
  </sheetData>
  <mergeCells count="1">
    <mergeCell ref="B51:K51"/>
  </mergeCells>
  <pageMargins left="0.7" right="0.7" top="0.75" bottom="0.75" header="0.3" footer="0.3"/>
  <pageSetup paperSize="9" scale="6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V53"/>
  <sheetViews>
    <sheetView zoomScale="60" workbookViewId="0">
      <selection activeCell="G10" sqref="G10"/>
    </sheetView>
  </sheetViews>
  <sheetFormatPr defaultColWidth="9" defaultRowHeight="14.5" x14ac:dyDescent="0.35"/>
  <cols>
    <col min="1" max="1" width="9.1796875" style="1" customWidth="1"/>
    <col min="2" max="2" width="26" style="1" customWidth="1"/>
    <col min="3" max="3" width="31.26953125" style="1" customWidth="1"/>
    <col min="4" max="4" width="9.1796875" style="1" customWidth="1"/>
    <col min="5" max="5" width="17.7265625" style="1" customWidth="1"/>
    <col min="6" max="7" width="9.1796875" style="1" customWidth="1"/>
    <col min="8" max="8" width="11.81640625" style="1" customWidth="1"/>
    <col min="9" max="9" width="14.72656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112</v>
      </c>
      <c r="N2" s="1" t="s">
        <v>71</v>
      </c>
      <c r="O2" s="1" t="s">
        <v>70</v>
      </c>
    </row>
    <row r="3" spans="2:15" x14ac:dyDescent="0.35">
      <c r="B3" s="1" t="str">
        <f>'FROM BOREHOLE'!B3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'FROM BOREHOLE'!H4+10-1</f>
        <v>20242010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C6" s="4" t="str">
        <f>meter!A12</f>
        <v>KAYAVA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C9" s="22"/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C15" s="7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meter!D12</f>
        <v>1808</v>
      </c>
      <c r="C16" s="8">
        <f>meter!E12</f>
        <v>0</v>
      </c>
      <c r="D16" s="8" t="s">
        <v>17</v>
      </c>
      <c r="E16" s="9">
        <f>C16-B16</f>
        <v>-1808</v>
      </c>
      <c r="N16" s="1">
        <f t="shared" si="0"/>
        <v>9420</v>
      </c>
      <c r="O16" s="1">
        <v>9420</v>
      </c>
    </row>
    <row r="17" spans="2:15" x14ac:dyDescent="0.35">
      <c r="E17" s="1" t="s">
        <v>42</v>
      </c>
      <c r="G17" s="11"/>
      <c r="H17" s="11"/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18</v>
      </c>
      <c r="E18" s="1">
        <f>meter!J12</f>
        <v>0</v>
      </c>
      <c r="G18" s="11"/>
      <c r="H18" s="11"/>
      <c r="N18" s="1">
        <f t="shared" si="0"/>
        <v>10430</v>
      </c>
      <c r="O18" s="1">
        <v>10430</v>
      </c>
    </row>
    <row r="19" spans="2:15" ht="15.5" x14ac:dyDescent="0.35">
      <c r="B19" s="10"/>
      <c r="E19" s="11"/>
      <c r="G19" s="11"/>
      <c r="H19" s="11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16</v>
      </c>
      <c r="E20" s="1">
        <f>meter!H12</f>
        <v>-180800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E22" s="1">
        <f>'FROM BOREHOLE'!E22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E24" s="11"/>
      <c r="N24" s="1">
        <f t="shared" si="0"/>
        <v>10270</v>
      </c>
      <c r="O24" s="1">
        <v>10270</v>
      </c>
    </row>
    <row r="25" spans="2:15" x14ac:dyDescent="0.35">
      <c r="E25" s="11"/>
      <c r="N25" s="1">
        <f t="shared" si="0"/>
        <v>11070</v>
      </c>
      <c r="O25" s="1">
        <v>11070</v>
      </c>
    </row>
    <row r="26" spans="2:15" x14ac:dyDescent="0.35">
      <c r="E26" s="11"/>
      <c r="N26" s="1">
        <f t="shared" si="0"/>
        <v>11550</v>
      </c>
      <c r="O26" s="1">
        <v>11550</v>
      </c>
    </row>
    <row r="27" spans="2:15" x14ac:dyDescent="0.35">
      <c r="C27" s="12"/>
      <c r="D27" s="12"/>
      <c r="E27" s="11"/>
      <c r="N27" s="1">
        <f t="shared" si="0"/>
        <v>11393</v>
      </c>
      <c r="O27" s="1">
        <v>11393</v>
      </c>
    </row>
    <row r="28" spans="2:15" x14ac:dyDescent="0.35">
      <c r="E28" s="11"/>
      <c r="N28" s="1">
        <f t="shared" si="0"/>
        <v>10802</v>
      </c>
      <c r="O28" s="1">
        <v>10802</v>
      </c>
    </row>
    <row r="29" spans="2:15" x14ac:dyDescent="0.35">
      <c r="E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C30" s="1" t="s">
        <v>10</v>
      </c>
      <c r="D30" s="1" t="s">
        <v>19</v>
      </c>
      <c r="E30" s="11">
        <f>SUM(E17:E29)</f>
        <v>-180800</v>
      </c>
      <c r="G30" s="13"/>
      <c r="N30" s="1">
        <f t="shared" si="0"/>
        <v>9570</v>
      </c>
      <c r="O30" s="1">
        <v>9570</v>
      </c>
    </row>
    <row r="31" spans="2:15" x14ac:dyDescent="0.35">
      <c r="E31" s="11"/>
      <c r="N31" s="1">
        <f t="shared" si="0"/>
        <v>11390</v>
      </c>
      <c r="O31" s="1">
        <v>11390</v>
      </c>
    </row>
    <row r="32" spans="2:15" x14ac:dyDescent="0.35">
      <c r="C32" s="1" t="s">
        <v>25</v>
      </c>
      <c r="E32" s="11">
        <f>meter!L12</f>
        <v>0</v>
      </c>
      <c r="N32" s="1">
        <f t="shared" si="0"/>
        <v>10750</v>
      </c>
      <c r="O32" s="1">
        <v>10750</v>
      </c>
    </row>
    <row r="33" spans="1:18" x14ac:dyDescent="0.35">
      <c r="E33" s="11"/>
      <c r="N33" s="1">
        <f t="shared" si="0"/>
        <v>11732</v>
      </c>
      <c r="O33" s="1">
        <v>11732</v>
      </c>
    </row>
    <row r="34" spans="1:18" x14ac:dyDescent="0.35">
      <c r="C34" s="1" t="s">
        <v>55</v>
      </c>
      <c r="E34" s="13">
        <f>E30-E32</f>
        <v>-180800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10" t="s">
        <v>11</v>
      </c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 t="s">
        <v>114</v>
      </c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N37" s="1">
        <f t="shared" si="0"/>
        <v>8770</v>
      </c>
      <c r="O37" s="1">
        <v>8770</v>
      </c>
    </row>
    <row r="38" spans="1:18" x14ac:dyDescent="0.35">
      <c r="B38" s="15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47</v>
      </c>
      <c r="B41" s="15"/>
    </row>
    <row r="42" spans="1:18" x14ac:dyDescent="0.35">
      <c r="A42" s="1" t="s">
        <v>48</v>
      </c>
      <c r="B42" s="15"/>
      <c r="I42" s="16"/>
    </row>
    <row r="43" spans="1:18" x14ac:dyDescent="0.35">
      <c r="A43" s="1" t="s">
        <v>49</v>
      </c>
      <c r="B43" s="4"/>
    </row>
    <row r="44" spans="1:18" x14ac:dyDescent="0.35">
      <c r="B44" s="4"/>
    </row>
    <row r="45" spans="1:18" x14ac:dyDescent="0.35">
      <c r="A45" s="16"/>
      <c r="B45" s="4"/>
      <c r="G45" s="16"/>
      <c r="H45" s="16"/>
    </row>
    <row r="46" spans="1:18" x14ac:dyDescent="0.35">
      <c r="B46" s="4"/>
    </row>
    <row r="47" spans="1:18" ht="32" x14ac:dyDescent="0.7">
      <c r="B47" s="17" t="s">
        <v>115</v>
      </c>
      <c r="C47" s="18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O49" s="1" t="s">
        <v>74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/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</row>
    <row r="53" spans="1:15" x14ac:dyDescent="0.35">
      <c r="B53" s="15"/>
      <c r="C53" s="15"/>
    </row>
  </sheetData>
  <mergeCells count="1">
    <mergeCell ref="B51:K51"/>
  </mergeCells>
  <pageMargins left="0.7" right="0.7" top="0.75" bottom="0.75" header="0.3" footer="0.3"/>
  <pageSetup paperSize="9" scale="6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IV53"/>
  <sheetViews>
    <sheetView zoomScale="60" workbookViewId="0">
      <selection activeCell="I59" sqref="I59"/>
    </sheetView>
  </sheetViews>
  <sheetFormatPr defaultColWidth="9" defaultRowHeight="14.5" x14ac:dyDescent="0.35"/>
  <cols>
    <col min="1" max="1" width="4.54296875" style="1" customWidth="1"/>
    <col min="2" max="2" width="23.81640625" style="1" customWidth="1"/>
    <col min="3" max="3" width="31" style="1" customWidth="1"/>
    <col min="4" max="4" width="10.26953125" style="1" customWidth="1"/>
    <col min="5" max="5" width="15.453125" style="1" customWidth="1"/>
    <col min="6" max="6" width="9.1796875" style="1" hidden="1" customWidth="1"/>
    <col min="7" max="7" width="9.1796875" style="1" customWidth="1"/>
    <col min="8" max="8" width="15.26953125" style="1" customWidth="1"/>
    <col min="9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112</v>
      </c>
      <c r="N2" s="1" t="s">
        <v>71</v>
      </c>
      <c r="O2" s="1" t="s">
        <v>70</v>
      </c>
    </row>
    <row r="3" spans="2:15" x14ac:dyDescent="0.35">
      <c r="B3" s="1" t="str">
        <f>'FROM BOREHOLE'!B3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'FROM BOREHOLE'!H4+11-1</f>
        <v>20242011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C6" s="4" t="str">
        <f>meter!A13</f>
        <v xml:space="preserve">Mr Vincent 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">
        <v>116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 t="s">
        <v>117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C15" s="7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meter!D13</f>
        <v>2728</v>
      </c>
      <c r="C16" s="8">
        <f>meter!E13</f>
        <v>2773</v>
      </c>
      <c r="D16" s="8" t="s">
        <v>17</v>
      </c>
      <c r="E16" s="9">
        <f>C16-B16</f>
        <v>45</v>
      </c>
      <c r="N16" s="1">
        <f t="shared" si="0"/>
        <v>9420</v>
      </c>
      <c r="O16" s="1">
        <v>9420</v>
      </c>
    </row>
    <row r="17" spans="2:15" x14ac:dyDescent="0.35">
      <c r="E17" s="1" t="s">
        <v>41</v>
      </c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18</v>
      </c>
      <c r="E18" s="1">
        <f>meter!J13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16</v>
      </c>
      <c r="E20" s="11">
        <f>meter!H13</f>
        <v>4500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E24" s="11"/>
      <c r="N24" s="1">
        <f t="shared" si="0"/>
        <v>10270</v>
      </c>
      <c r="O24" s="1">
        <v>10270</v>
      </c>
    </row>
    <row r="25" spans="2:15" x14ac:dyDescent="0.35">
      <c r="E25" s="11"/>
      <c r="N25" s="1">
        <f t="shared" si="0"/>
        <v>11070</v>
      </c>
      <c r="O25" s="1">
        <v>11070</v>
      </c>
    </row>
    <row r="26" spans="2:15" x14ac:dyDescent="0.35">
      <c r="E26" s="11"/>
      <c r="N26" s="1">
        <f t="shared" si="0"/>
        <v>11550</v>
      </c>
      <c r="O26" s="1">
        <v>11550</v>
      </c>
    </row>
    <row r="27" spans="2:15" x14ac:dyDescent="0.35">
      <c r="C27" s="12"/>
      <c r="D27" s="12"/>
      <c r="E27" s="11"/>
      <c r="N27" s="1">
        <f t="shared" si="0"/>
        <v>11393</v>
      </c>
      <c r="O27" s="1">
        <v>11393</v>
      </c>
    </row>
    <row r="28" spans="2:15" x14ac:dyDescent="0.35">
      <c r="E28" s="11"/>
      <c r="N28" s="1">
        <f t="shared" si="0"/>
        <v>10802</v>
      </c>
      <c r="O28" s="1">
        <v>10802</v>
      </c>
    </row>
    <row r="29" spans="2:15" x14ac:dyDescent="0.35">
      <c r="E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C30" s="1" t="s">
        <v>10</v>
      </c>
      <c r="D30" s="1" t="s">
        <v>19</v>
      </c>
      <c r="E30" s="11">
        <f>SUM(E17:E29)</f>
        <v>4500</v>
      </c>
      <c r="G30" s="13"/>
      <c r="N30" s="1">
        <f t="shared" si="0"/>
        <v>9570</v>
      </c>
      <c r="O30" s="1">
        <v>9570</v>
      </c>
    </row>
    <row r="31" spans="2:15" x14ac:dyDescent="0.35">
      <c r="E31" s="11"/>
      <c r="N31" s="1">
        <f t="shared" si="0"/>
        <v>11390</v>
      </c>
      <c r="O31" s="1">
        <v>11390</v>
      </c>
    </row>
    <row r="32" spans="2:15" x14ac:dyDescent="0.35">
      <c r="C32" s="1" t="s">
        <v>25</v>
      </c>
      <c r="E32" s="11">
        <f>meter!L13</f>
        <v>0</v>
      </c>
      <c r="N32" s="1">
        <f t="shared" si="0"/>
        <v>10750</v>
      </c>
      <c r="O32" s="1">
        <v>10750</v>
      </c>
    </row>
    <row r="33" spans="1:18" x14ac:dyDescent="0.35">
      <c r="E33" s="11"/>
      <c r="N33" s="1">
        <f t="shared" si="0"/>
        <v>11732</v>
      </c>
      <c r="O33" s="1">
        <v>11732</v>
      </c>
    </row>
    <row r="34" spans="1:18" x14ac:dyDescent="0.35">
      <c r="C34" s="1" t="s">
        <v>55</v>
      </c>
      <c r="E34" s="13">
        <f>E30-E32</f>
        <v>4500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10" t="s">
        <v>11</v>
      </c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 t="s">
        <v>114</v>
      </c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N37" s="1">
        <f t="shared" si="0"/>
        <v>8770</v>
      </c>
      <c r="O37" s="1">
        <v>8770</v>
      </c>
    </row>
    <row r="38" spans="1:18" x14ac:dyDescent="0.35">
      <c r="B38" s="15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47</v>
      </c>
      <c r="B41" s="15"/>
    </row>
    <row r="42" spans="1:18" x14ac:dyDescent="0.35">
      <c r="A42" s="1" t="s">
        <v>48</v>
      </c>
      <c r="B42" s="15"/>
      <c r="I42" s="16"/>
    </row>
    <row r="43" spans="1:18" x14ac:dyDescent="0.35">
      <c r="A43" s="1" t="s">
        <v>49</v>
      </c>
      <c r="B43" s="4"/>
    </row>
    <row r="44" spans="1:18" x14ac:dyDescent="0.35">
      <c r="B44" s="4"/>
    </row>
    <row r="45" spans="1:18" x14ac:dyDescent="0.35">
      <c r="A45" s="16"/>
      <c r="B45" s="4"/>
      <c r="G45" s="16"/>
      <c r="H45" s="16"/>
    </row>
    <row r="46" spans="1:18" x14ac:dyDescent="0.35">
      <c r="B46" s="4"/>
    </row>
    <row r="47" spans="1:18" ht="32" x14ac:dyDescent="0.7">
      <c r="B47" s="17" t="s">
        <v>125</v>
      </c>
      <c r="C47" s="18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O49" s="1" t="s">
        <v>74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/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</row>
    <row r="53" spans="1:15" x14ac:dyDescent="0.35">
      <c r="B53" s="15"/>
      <c r="C53" s="15"/>
    </row>
  </sheetData>
  <mergeCells count="1">
    <mergeCell ref="B51:K51"/>
  </mergeCells>
  <pageMargins left="0.7" right="0.7" top="0.75" bottom="0.75" header="0.3" footer="0.3"/>
  <pageSetup paperSize="9" scale="7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IV53"/>
  <sheetViews>
    <sheetView zoomScale="60" workbookViewId="0">
      <selection activeCell="H19" sqref="H19"/>
    </sheetView>
  </sheetViews>
  <sheetFormatPr defaultColWidth="9" defaultRowHeight="14.5" x14ac:dyDescent="0.35"/>
  <cols>
    <col min="1" max="1" width="9.1796875" style="1" customWidth="1"/>
    <col min="2" max="2" width="25.453125" style="1" customWidth="1"/>
    <col min="3" max="3" width="0.1796875" style="1" customWidth="1"/>
    <col min="4" max="4" width="29.81640625" style="1" customWidth="1"/>
    <col min="5" max="5" width="9.1796875" style="1" customWidth="1"/>
    <col min="6" max="6" width="13.54296875" style="1" customWidth="1"/>
    <col min="7" max="9" width="9.1796875" style="1" customWidth="1"/>
    <col min="10" max="10" width="12.54296875" style="1" customWidth="1"/>
    <col min="11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112</v>
      </c>
      <c r="N2" s="1" t="s">
        <v>71</v>
      </c>
      <c r="O2" s="1" t="s">
        <v>70</v>
      </c>
    </row>
    <row r="3" spans="2:15" x14ac:dyDescent="0.35">
      <c r="B3" s="1" t="str">
        <f>'FROM BOREHOLE'!B3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'FROM BOREHOLE'!H4+12-1</f>
        <v>20242012</v>
      </c>
      <c r="J4" s="1">
        <f>'FROM BOREHOLE'!H4+12-1</f>
        <v>20242012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D6" s="4" t="str">
        <f>meter!A14</f>
        <v>Mr Wamalwa</v>
      </c>
      <c r="N6" s="1">
        <f t="shared" si="0"/>
        <v>11070</v>
      </c>
      <c r="O6" s="1">
        <v>11070</v>
      </c>
    </row>
    <row r="7" spans="2:15" x14ac:dyDescent="0.35">
      <c r="D7" s="4"/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">
        <v>116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 t="s">
        <v>117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meter!D14</f>
        <v>918</v>
      </c>
      <c r="C16" s="8"/>
      <c r="D16" s="8">
        <f>meter!E14</f>
        <v>938</v>
      </c>
      <c r="E16" s="8" t="s">
        <v>17</v>
      </c>
      <c r="F16" s="9">
        <f>D16-B16</f>
        <v>20</v>
      </c>
      <c r="N16" s="1">
        <f t="shared" si="0"/>
        <v>9420</v>
      </c>
      <c r="O16" s="1">
        <v>9420</v>
      </c>
    </row>
    <row r="17" spans="2:15" x14ac:dyDescent="0.35">
      <c r="F17" s="1" t="s">
        <v>41</v>
      </c>
      <c r="N17" s="1">
        <f t="shared" si="0"/>
        <v>11154</v>
      </c>
      <c r="O17" s="1">
        <v>11154</v>
      </c>
    </row>
    <row r="18" spans="2:15" x14ac:dyDescent="0.35">
      <c r="D18" s="1" t="s">
        <v>8</v>
      </c>
      <c r="E18" s="1" t="s">
        <v>18</v>
      </c>
      <c r="F18" s="1">
        <f>meter!J14</f>
        <v>2500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1" t="s">
        <v>16</v>
      </c>
      <c r="F20" s="1">
        <f>meter!H14</f>
        <v>2000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F24" s="11"/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F26" s="11"/>
      <c r="N26" s="1">
        <f t="shared" si="0"/>
        <v>11550</v>
      </c>
      <c r="O26" s="1">
        <v>11550</v>
      </c>
    </row>
    <row r="27" spans="2:15" x14ac:dyDescent="0.35">
      <c r="D27" s="12"/>
      <c r="F27" s="11"/>
      <c r="N27" s="1">
        <f t="shared" si="0"/>
        <v>11393</v>
      </c>
      <c r="O27" s="1">
        <v>11393</v>
      </c>
    </row>
    <row r="28" spans="2:15" x14ac:dyDescent="0.35">
      <c r="F28" s="11"/>
      <c r="N28" s="1">
        <f t="shared" si="0"/>
        <v>10802</v>
      </c>
      <c r="O28" s="1">
        <v>10802</v>
      </c>
    </row>
    <row r="29" spans="2:15" x14ac:dyDescent="0.35">
      <c r="F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C30" s="1" t="s">
        <v>10</v>
      </c>
      <c r="D30" s="1" t="s">
        <v>10</v>
      </c>
      <c r="E30" s="1" t="s">
        <v>19</v>
      </c>
      <c r="F30" s="11">
        <f>SUM(F17:F29)</f>
        <v>4500</v>
      </c>
      <c r="G30" s="13"/>
      <c r="N30" s="1">
        <f t="shared" si="0"/>
        <v>9570</v>
      </c>
      <c r="O30" s="1">
        <v>9570</v>
      </c>
    </row>
    <row r="31" spans="2:15" x14ac:dyDescent="0.35">
      <c r="F31" s="11"/>
      <c r="N31" s="1">
        <f t="shared" si="0"/>
        <v>11390</v>
      </c>
      <c r="O31" s="1">
        <v>11390</v>
      </c>
    </row>
    <row r="32" spans="2:15" x14ac:dyDescent="0.35">
      <c r="C32" s="1" t="s">
        <v>25</v>
      </c>
      <c r="D32" s="1" t="s">
        <v>25</v>
      </c>
      <c r="F32" s="11">
        <f>meter!L14</f>
        <v>0</v>
      </c>
      <c r="N32" s="1">
        <f t="shared" si="0"/>
        <v>10750</v>
      </c>
      <c r="O32" s="1">
        <v>10750</v>
      </c>
    </row>
    <row r="33" spans="1:18" x14ac:dyDescent="0.35">
      <c r="F33" s="11"/>
      <c r="N33" s="1">
        <f t="shared" si="0"/>
        <v>11732</v>
      </c>
      <c r="O33" s="1">
        <v>11732</v>
      </c>
    </row>
    <row r="34" spans="1:18" x14ac:dyDescent="0.35">
      <c r="C34" s="1" t="s">
        <v>54</v>
      </c>
      <c r="D34" s="1" t="s">
        <v>55</v>
      </c>
      <c r="F34" s="13">
        <f>F30-F32</f>
        <v>4500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10" t="s">
        <v>11</v>
      </c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 t="s">
        <v>114</v>
      </c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N37" s="1">
        <f t="shared" si="0"/>
        <v>8770</v>
      </c>
      <c r="O37" s="1">
        <v>8770</v>
      </c>
    </row>
    <row r="38" spans="1:18" x14ac:dyDescent="0.35">
      <c r="B38" s="15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47</v>
      </c>
      <c r="B41" s="15"/>
    </row>
    <row r="42" spans="1:18" x14ac:dyDescent="0.35">
      <c r="A42" s="1" t="s">
        <v>48</v>
      </c>
      <c r="B42" s="15"/>
      <c r="I42" s="16"/>
      <c r="J42" s="16"/>
    </row>
    <row r="43" spans="1:18" x14ac:dyDescent="0.35">
      <c r="A43" s="1" t="s">
        <v>49</v>
      </c>
      <c r="B43" s="4"/>
    </row>
    <row r="44" spans="1:18" x14ac:dyDescent="0.35">
      <c r="B44" s="4"/>
    </row>
    <row r="45" spans="1:18" x14ac:dyDescent="0.35">
      <c r="A45" s="16"/>
      <c r="B45" s="4"/>
      <c r="G45" s="16"/>
      <c r="H45" s="16"/>
    </row>
    <row r="46" spans="1:18" x14ac:dyDescent="0.35">
      <c r="B46" s="4"/>
    </row>
    <row r="47" spans="1:18" ht="32" x14ac:dyDescent="0.7">
      <c r="B47" s="17" t="s">
        <v>124</v>
      </c>
      <c r="C47" s="18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O49" s="1" t="s">
        <v>74</v>
      </c>
    </row>
    <row r="50" spans="1:15" ht="32" x14ac:dyDescent="0.7">
      <c r="A50" s="15"/>
      <c r="B50" s="17"/>
      <c r="G50" s="15"/>
      <c r="H50" s="15"/>
    </row>
    <row r="51" spans="1:15" ht="32" x14ac:dyDescent="0.7">
      <c r="A51" s="15"/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</row>
    <row r="53" spans="1:15" x14ac:dyDescent="0.35">
      <c r="B53" s="15"/>
      <c r="C53" s="15"/>
    </row>
  </sheetData>
  <mergeCells count="1">
    <mergeCell ref="B51:K51"/>
  </mergeCells>
  <pageMargins left="0.7" right="0.7" top="0.75" bottom="0.75" header="0.3" footer="0.3"/>
  <pageSetup paperSize="9" scale="6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IV53"/>
  <sheetViews>
    <sheetView zoomScale="60" workbookViewId="0">
      <selection activeCell="G8" sqref="G8"/>
    </sheetView>
  </sheetViews>
  <sheetFormatPr defaultColWidth="9" defaultRowHeight="18.5" x14ac:dyDescent="0.45"/>
  <cols>
    <col min="1" max="1" width="4.453125" style="25" customWidth="1"/>
    <col min="2" max="2" width="24.54296875" style="25" customWidth="1"/>
    <col min="3" max="3" width="2.81640625" style="25" customWidth="1"/>
    <col min="4" max="4" width="23.54296875" style="25" customWidth="1"/>
    <col min="5" max="5" width="14.54296875" style="25" customWidth="1"/>
    <col min="6" max="6" width="18.453125" style="25" customWidth="1"/>
    <col min="7" max="7" width="13.26953125" style="25" customWidth="1"/>
    <col min="8" max="8" width="14.453125" style="25" customWidth="1"/>
    <col min="9" max="13" width="9.1796875" style="25" customWidth="1"/>
    <col min="14" max="14" width="9.81640625" style="25" customWidth="1"/>
    <col min="15" max="15" width="13.54296875" style="25" customWidth="1"/>
    <col min="16" max="17" width="9.1796875" style="25" customWidth="1"/>
    <col min="18" max="18" width="0" style="25" hidden="1"/>
    <col min="19" max="256" width="9.1796875" style="25" customWidth="1"/>
    <col min="257" max="16384" width="9" style="26"/>
  </cols>
  <sheetData>
    <row r="2" spans="2:15" x14ac:dyDescent="0.45">
      <c r="B2" s="27" t="s">
        <v>112</v>
      </c>
      <c r="N2" s="25" t="s">
        <v>71</v>
      </c>
      <c r="O2" s="25" t="s">
        <v>70</v>
      </c>
    </row>
    <row r="3" spans="2:15" x14ac:dyDescent="0.45">
      <c r="B3" s="27" t="str">
        <f>'FROM BOREHOLE'!B3</f>
        <v>P.O BOX 9473-00200 NAIROBI</v>
      </c>
      <c r="N3" s="25">
        <f>O3-Q3</f>
        <v>10270</v>
      </c>
      <c r="O3" s="25">
        <v>10270</v>
      </c>
    </row>
    <row r="4" spans="2:15" x14ac:dyDescent="0.45">
      <c r="B4" s="27" t="s">
        <v>0</v>
      </c>
      <c r="G4" s="25" t="s">
        <v>6</v>
      </c>
      <c r="H4" s="25">
        <f>'FROM BOREHOLE'!H4+13-1</f>
        <v>20242013</v>
      </c>
      <c r="N4" s="25">
        <f t="shared" ref="N4:N38" si="0">O4-Q4</f>
        <v>10304</v>
      </c>
      <c r="O4" s="25">
        <v>10304</v>
      </c>
    </row>
    <row r="5" spans="2:15" x14ac:dyDescent="0.45">
      <c r="N5" s="25">
        <f t="shared" si="0"/>
        <v>10988</v>
      </c>
      <c r="O5" s="25">
        <v>10988</v>
      </c>
    </row>
    <row r="6" spans="2:15" x14ac:dyDescent="0.45">
      <c r="B6" s="25" t="s">
        <v>111</v>
      </c>
      <c r="D6" s="27" t="str">
        <f>meter!A15</f>
        <v>Mr Mwita</v>
      </c>
      <c r="N6" s="25">
        <f t="shared" si="0"/>
        <v>11070</v>
      </c>
      <c r="O6" s="25">
        <v>11070</v>
      </c>
    </row>
    <row r="7" spans="2:15" x14ac:dyDescent="0.45">
      <c r="N7" s="25">
        <f t="shared" si="0"/>
        <v>1197</v>
      </c>
      <c r="O7" s="25">
        <v>1197</v>
      </c>
    </row>
    <row r="8" spans="2:15" x14ac:dyDescent="0.45">
      <c r="N8" s="25">
        <f t="shared" si="0"/>
        <v>9250</v>
      </c>
      <c r="O8" s="25">
        <v>9250</v>
      </c>
    </row>
    <row r="9" spans="2:15" x14ac:dyDescent="0.45">
      <c r="N9" s="25">
        <f t="shared" si="0"/>
        <v>8770</v>
      </c>
      <c r="O9" s="25">
        <v>8770</v>
      </c>
    </row>
    <row r="10" spans="2:15" x14ac:dyDescent="0.45">
      <c r="B10" s="25" t="s">
        <v>1</v>
      </c>
      <c r="D10" s="28" t="str">
        <f>'FROM BOREHOLE'!C10</f>
        <v>29TH JAN 2025</v>
      </c>
      <c r="N10" s="25">
        <f t="shared" si="0"/>
        <v>23190</v>
      </c>
      <c r="O10" s="25">
        <v>23190</v>
      </c>
    </row>
    <row r="11" spans="2:15" x14ac:dyDescent="0.45">
      <c r="N11" s="25">
        <f t="shared" si="0"/>
        <v>10910</v>
      </c>
      <c r="O11" s="25">
        <v>10910</v>
      </c>
    </row>
    <row r="12" spans="2:15" x14ac:dyDescent="0.45">
      <c r="B12" s="25" t="s">
        <v>2</v>
      </c>
      <c r="D12" s="28" t="str">
        <f>'FROM BOREHOLE'!C12</f>
        <v>5TH FEB 2026</v>
      </c>
      <c r="N12" s="25">
        <f t="shared" si="0"/>
        <v>10910</v>
      </c>
      <c r="O12" s="25">
        <v>10910</v>
      </c>
    </row>
    <row r="13" spans="2:15" x14ac:dyDescent="0.45">
      <c r="C13" s="25" t="s">
        <v>31</v>
      </c>
      <c r="N13" s="25">
        <f t="shared" si="0"/>
        <v>12190</v>
      </c>
      <c r="O13" s="25">
        <v>12190</v>
      </c>
    </row>
    <row r="14" spans="2:15" x14ac:dyDescent="0.45">
      <c r="N14" s="25">
        <f t="shared" si="0"/>
        <v>11070</v>
      </c>
      <c r="O14" s="25">
        <v>11070</v>
      </c>
    </row>
    <row r="15" spans="2:15" x14ac:dyDescent="0.45">
      <c r="B15" s="29" t="s">
        <v>3</v>
      </c>
      <c r="D15" s="29" t="s">
        <v>4</v>
      </c>
      <c r="F15" s="25" t="s">
        <v>5</v>
      </c>
      <c r="N15" s="25">
        <f t="shared" si="0"/>
        <v>9090</v>
      </c>
      <c r="O15" s="25">
        <v>9090</v>
      </c>
    </row>
    <row r="16" spans="2:15" x14ac:dyDescent="0.45">
      <c r="B16" s="30">
        <f>meter!D15</f>
        <v>67</v>
      </c>
      <c r="C16" s="30"/>
      <c r="D16" s="30">
        <f>meter!E15</f>
        <v>72</v>
      </c>
      <c r="E16" s="30" t="s">
        <v>17</v>
      </c>
      <c r="F16" s="31">
        <f>D16-B16</f>
        <v>5</v>
      </c>
      <c r="G16" s="32"/>
      <c r="N16" s="25">
        <f t="shared" si="0"/>
        <v>9420</v>
      </c>
      <c r="O16" s="25">
        <v>9420</v>
      </c>
    </row>
    <row r="17" spans="2:15" x14ac:dyDescent="0.45">
      <c r="F17" s="25" t="s">
        <v>41</v>
      </c>
      <c r="G17" s="32"/>
      <c r="N17" s="25">
        <f t="shared" si="0"/>
        <v>11154</v>
      </c>
      <c r="O17" s="25">
        <v>11154</v>
      </c>
    </row>
    <row r="18" spans="2:15" x14ac:dyDescent="0.45">
      <c r="D18" s="25" t="s">
        <v>23</v>
      </c>
      <c r="E18" s="25" t="s">
        <v>18</v>
      </c>
      <c r="F18" s="33">
        <f>meter!J15</f>
        <v>0</v>
      </c>
      <c r="G18" s="34"/>
      <c r="N18" s="25">
        <f t="shared" si="0"/>
        <v>10430</v>
      </c>
      <c r="O18" s="25">
        <v>10430</v>
      </c>
    </row>
    <row r="19" spans="2:15" x14ac:dyDescent="0.45">
      <c r="B19" s="27"/>
      <c r="G19" s="32"/>
      <c r="N19" s="25">
        <f t="shared" si="0"/>
        <v>11831</v>
      </c>
      <c r="O19" s="25">
        <v>11831</v>
      </c>
    </row>
    <row r="20" spans="2:15" x14ac:dyDescent="0.45">
      <c r="D20" s="25" t="s">
        <v>9</v>
      </c>
      <c r="E20" s="25" t="s">
        <v>16</v>
      </c>
      <c r="F20" s="25">
        <f>meter!H15</f>
        <v>500</v>
      </c>
      <c r="G20" s="33"/>
      <c r="N20" s="25">
        <f t="shared" si="0"/>
        <v>10590</v>
      </c>
      <c r="O20" s="25">
        <v>10590</v>
      </c>
    </row>
    <row r="21" spans="2:15" x14ac:dyDescent="0.45">
      <c r="G21" s="33"/>
      <c r="N21" s="25">
        <f t="shared" si="0"/>
        <v>22423</v>
      </c>
      <c r="O21" s="25">
        <v>22423</v>
      </c>
    </row>
    <row r="22" spans="2:15" x14ac:dyDescent="0.45">
      <c r="N22" s="25">
        <f t="shared" si="0"/>
        <v>9250</v>
      </c>
      <c r="O22" s="25">
        <v>9250</v>
      </c>
    </row>
    <row r="23" spans="2:15" x14ac:dyDescent="0.45">
      <c r="G23" s="33"/>
      <c r="N23" s="25">
        <f t="shared" si="0"/>
        <v>10162</v>
      </c>
      <c r="O23" s="25">
        <v>10162</v>
      </c>
    </row>
    <row r="24" spans="2:15" x14ac:dyDescent="0.45">
      <c r="F24" s="32"/>
      <c r="N24" s="25">
        <f t="shared" si="0"/>
        <v>10270</v>
      </c>
      <c r="O24" s="25">
        <v>10270</v>
      </c>
    </row>
    <row r="25" spans="2:15" x14ac:dyDescent="0.45">
      <c r="F25" s="32"/>
      <c r="G25" s="33"/>
      <c r="N25" s="25">
        <f t="shared" si="0"/>
        <v>11070</v>
      </c>
      <c r="O25" s="25">
        <v>11070</v>
      </c>
    </row>
    <row r="26" spans="2:15" x14ac:dyDescent="0.45">
      <c r="F26" s="32"/>
      <c r="G26" s="33"/>
      <c r="N26" s="25">
        <f t="shared" si="0"/>
        <v>11550</v>
      </c>
      <c r="O26" s="25">
        <v>11550</v>
      </c>
    </row>
    <row r="27" spans="2:15" x14ac:dyDescent="0.45">
      <c r="F27" s="32"/>
      <c r="G27" s="33"/>
      <c r="N27" s="25">
        <f t="shared" si="0"/>
        <v>11393</v>
      </c>
      <c r="O27" s="25">
        <v>11393</v>
      </c>
    </row>
    <row r="28" spans="2:15" x14ac:dyDescent="0.45">
      <c r="F28" s="32"/>
      <c r="G28" s="32"/>
      <c r="N28" s="25">
        <f t="shared" si="0"/>
        <v>10802</v>
      </c>
      <c r="O28" s="25">
        <v>10802</v>
      </c>
    </row>
    <row r="29" spans="2:15" x14ac:dyDescent="0.45">
      <c r="F29" s="32"/>
      <c r="G29" s="33"/>
      <c r="L29" s="25" t="s">
        <v>31</v>
      </c>
      <c r="N29" s="25">
        <f t="shared" si="0"/>
        <v>8930</v>
      </c>
      <c r="O29" s="25">
        <v>8930</v>
      </c>
    </row>
    <row r="30" spans="2:15" x14ac:dyDescent="0.45">
      <c r="D30" s="25" t="s">
        <v>10</v>
      </c>
      <c r="E30" s="25" t="s">
        <v>19</v>
      </c>
      <c r="F30" s="32">
        <f>SUM(F17:F29)</f>
        <v>500</v>
      </c>
      <c r="G30" s="33"/>
      <c r="N30" s="25">
        <f t="shared" si="0"/>
        <v>9570</v>
      </c>
      <c r="O30" s="25">
        <v>9570</v>
      </c>
    </row>
    <row r="31" spans="2:15" x14ac:dyDescent="0.45">
      <c r="F31" s="32"/>
      <c r="N31" s="25">
        <f t="shared" si="0"/>
        <v>11390</v>
      </c>
      <c r="O31" s="25">
        <v>11390</v>
      </c>
    </row>
    <row r="32" spans="2:15" x14ac:dyDescent="0.45">
      <c r="D32" s="25" t="s">
        <v>25</v>
      </c>
      <c r="F32" s="32">
        <f>meter!L15</f>
        <v>0</v>
      </c>
      <c r="N32" s="25">
        <f t="shared" si="0"/>
        <v>10750</v>
      </c>
      <c r="O32" s="25">
        <v>10750</v>
      </c>
    </row>
    <row r="33" spans="1:18" x14ac:dyDescent="0.45">
      <c r="F33" s="32"/>
      <c r="N33" s="25">
        <f t="shared" si="0"/>
        <v>11732</v>
      </c>
      <c r="O33" s="25">
        <v>11732</v>
      </c>
    </row>
    <row r="34" spans="1:18" x14ac:dyDescent="0.45">
      <c r="D34" s="25" t="s">
        <v>55</v>
      </c>
      <c r="F34" s="33">
        <f>F30-F32</f>
        <v>500</v>
      </c>
      <c r="N34" s="25">
        <f t="shared" si="0"/>
        <v>10934</v>
      </c>
      <c r="O34" s="25">
        <v>10934</v>
      </c>
      <c r="R34" s="25">
        <v>700</v>
      </c>
    </row>
    <row r="35" spans="1:18" x14ac:dyDescent="0.45">
      <c r="B35" s="27" t="s">
        <v>11</v>
      </c>
      <c r="N35" s="25">
        <f t="shared" si="0"/>
        <v>10270</v>
      </c>
      <c r="O35" s="25">
        <v>10270</v>
      </c>
    </row>
    <row r="36" spans="1:18" x14ac:dyDescent="0.45">
      <c r="A36" s="25" t="s">
        <v>44</v>
      </c>
      <c r="B36" s="14" t="s">
        <v>114</v>
      </c>
      <c r="N36" s="25">
        <f t="shared" si="0"/>
        <v>10598</v>
      </c>
      <c r="O36" s="25">
        <v>10598</v>
      </c>
    </row>
    <row r="37" spans="1:18" x14ac:dyDescent="0.45">
      <c r="A37" s="25" t="s">
        <v>45</v>
      </c>
      <c r="B37" s="35"/>
      <c r="N37" s="25">
        <f t="shared" si="0"/>
        <v>8770</v>
      </c>
      <c r="O37" s="25">
        <v>8770</v>
      </c>
    </row>
    <row r="38" spans="1:18" x14ac:dyDescent="0.45">
      <c r="B38" s="35"/>
      <c r="N38" s="25">
        <f t="shared" si="0"/>
        <v>8770</v>
      </c>
      <c r="O38" s="25">
        <v>8770</v>
      </c>
    </row>
    <row r="39" spans="1:18" x14ac:dyDescent="0.45">
      <c r="A39" s="25" t="s">
        <v>46</v>
      </c>
      <c r="B39" s="35"/>
      <c r="O39" s="25">
        <f>SUM(O3:O38)</f>
        <v>391268</v>
      </c>
      <c r="Q39" s="25">
        <f>SUM(Q3:Q38)</f>
        <v>0</v>
      </c>
    </row>
    <row r="40" spans="1:18" hidden="1" x14ac:dyDescent="0.45">
      <c r="B40" s="35"/>
    </row>
    <row r="41" spans="1:18" x14ac:dyDescent="0.45">
      <c r="A41" s="25" t="s">
        <v>47</v>
      </c>
      <c r="B41" s="35"/>
    </row>
    <row r="42" spans="1:18" x14ac:dyDescent="0.45">
      <c r="A42" s="25" t="s">
        <v>48</v>
      </c>
      <c r="B42" s="35"/>
      <c r="I42" s="36"/>
    </row>
    <row r="43" spans="1:18" x14ac:dyDescent="0.45">
      <c r="A43" s="25" t="s">
        <v>49</v>
      </c>
      <c r="B43" s="27"/>
    </row>
    <row r="44" spans="1:18" x14ac:dyDescent="0.45">
      <c r="B44" s="27"/>
    </row>
    <row r="45" spans="1:18" x14ac:dyDescent="0.45">
      <c r="A45" s="37"/>
      <c r="B45" s="27"/>
      <c r="G45" s="37"/>
      <c r="H45" s="37"/>
    </row>
    <row r="46" spans="1:18" x14ac:dyDescent="0.45">
      <c r="B46" s="27"/>
    </row>
    <row r="47" spans="1:18" ht="32" x14ac:dyDescent="0.7">
      <c r="B47" s="17" t="s">
        <v>126</v>
      </c>
      <c r="C47" s="18"/>
      <c r="D47" s="18"/>
      <c r="E47" s="18"/>
      <c r="F47" s="1"/>
      <c r="G47" s="1"/>
      <c r="H47" s="1"/>
      <c r="I47" s="1"/>
      <c r="J47" s="1"/>
      <c r="K47" s="1"/>
    </row>
    <row r="48" spans="1:18" x14ac:dyDescent="0.45">
      <c r="B48" s="16"/>
      <c r="C48" s="16"/>
      <c r="D48" s="16"/>
      <c r="E48" s="16"/>
      <c r="F48" s="16"/>
      <c r="G48" s="1"/>
      <c r="H48" s="1"/>
      <c r="I48" s="1"/>
      <c r="J48" s="1"/>
      <c r="K48" s="1"/>
    </row>
    <row r="49" spans="1:15" x14ac:dyDescent="0.45">
      <c r="A49" s="35"/>
      <c r="B49" s="16"/>
      <c r="C49" s="1"/>
      <c r="D49" s="1"/>
      <c r="E49" s="1"/>
      <c r="F49" s="1"/>
      <c r="G49" s="1"/>
      <c r="H49" s="1"/>
      <c r="I49" s="1"/>
      <c r="J49" s="1"/>
      <c r="K49" s="1"/>
      <c r="O49" s="25" t="s">
        <v>74</v>
      </c>
    </row>
    <row r="50" spans="1:15" ht="32" x14ac:dyDescent="0.7">
      <c r="A50" s="35"/>
      <c r="B50" s="17"/>
      <c r="C50" s="1"/>
      <c r="D50" s="1"/>
      <c r="E50" s="1"/>
      <c r="F50" s="1"/>
      <c r="G50" s="15"/>
      <c r="H50" s="15"/>
      <c r="I50" s="1"/>
      <c r="J50" s="1"/>
      <c r="K50" s="1"/>
    </row>
    <row r="51" spans="1:15" ht="32" x14ac:dyDescent="0.7">
      <c r="A51" s="35"/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45">
      <c r="A52" s="35"/>
      <c r="B52" s="15"/>
      <c r="C52" s="4"/>
      <c r="D52" s="1"/>
      <c r="E52" s="1"/>
      <c r="F52" s="1"/>
      <c r="G52" s="1"/>
      <c r="H52" s="1"/>
      <c r="I52" s="1"/>
      <c r="J52" s="1"/>
      <c r="K52" s="1"/>
    </row>
    <row r="53" spans="1:15" x14ac:dyDescent="0.45">
      <c r="B53" s="15"/>
      <c r="C53" s="15"/>
      <c r="D53" s="1"/>
      <c r="E53" s="1"/>
      <c r="F53" s="1"/>
      <c r="G53" s="1"/>
      <c r="H53" s="1"/>
      <c r="I53" s="1"/>
      <c r="J53" s="1"/>
      <c r="K53" s="1"/>
    </row>
  </sheetData>
  <mergeCells count="1">
    <mergeCell ref="B51:K51"/>
  </mergeCells>
  <pageMargins left="0.7" right="0.7" top="0.75" bottom="0.75" header="0.3" footer="0.3"/>
  <pageSetup paperSize="9" scale="74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IV55"/>
  <sheetViews>
    <sheetView topLeftCell="A6" zoomScale="60" workbookViewId="0">
      <selection activeCell="J18" sqref="J18"/>
    </sheetView>
  </sheetViews>
  <sheetFormatPr defaultColWidth="9" defaultRowHeight="14.5" x14ac:dyDescent="0.35"/>
  <cols>
    <col min="1" max="1" width="1.54296875" style="1" customWidth="1"/>
    <col min="2" max="2" width="22.1796875" style="1" customWidth="1"/>
    <col min="3" max="3" width="1.453125" style="1" customWidth="1"/>
    <col min="4" max="4" width="31.26953125" style="1" customWidth="1"/>
    <col min="5" max="5" width="4.54296875" style="38" customWidth="1"/>
    <col min="6" max="6" width="12.7265625" style="1" customWidth="1"/>
    <col min="7" max="7" width="9.1796875" style="1" customWidth="1"/>
    <col min="8" max="8" width="7.81640625" style="1" customWidth="1"/>
    <col min="9" max="9" width="9.1796875" style="1" hidden="1" customWidth="1"/>
    <col min="10" max="10" width="14.81640625" style="1" customWidth="1"/>
    <col min="11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112</v>
      </c>
      <c r="N2" s="1" t="s">
        <v>71</v>
      </c>
      <c r="O2" s="1" t="s">
        <v>70</v>
      </c>
    </row>
    <row r="3" spans="2:15" x14ac:dyDescent="0.35">
      <c r="B3" s="1" t="str">
        <f>'FROM BOREHOLE'!B3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'FROM BOREHOLE'!H4+14-1</f>
        <v>20242014</v>
      </c>
      <c r="J4" s="1">
        <f>'FROM BOREHOLE'!H4+14-1</f>
        <v>20242014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D6" s="4" t="str">
        <f>meter!A16</f>
        <v>Andrew  nyarandi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62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meter!D16</f>
        <v>235</v>
      </c>
      <c r="C16" s="8"/>
      <c r="D16" s="8">
        <f>meter!E16</f>
        <v>254</v>
      </c>
      <c r="E16" s="38" t="s">
        <v>17</v>
      </c>
      <c r="F16" s="9">
        <f>D16-B16</f>
        <v>19</v>
      </c>
      <c r="H16" s="1" t="s">
        <v>61</v>
      </c>
      <c r="N16" s="1">
        <f t="shared" si="0"/>
        <v>9420</v>
      </c>
      <c r="O16" s="1">
        <v>9420</v>
      </c>
    </row>
    <row r="17" spans="2:15" x14ac:dyDescent="0.35">
      <c r="F17" s="1" t="s">
        <v>41</v>
      </c>
      <c r="N17" s="1">
        <f t="shared" si="0"/>
        <v>11154</v>
      </c>
      <c r="O17" s="1">
        <v>11154</v>
      </c>
    </row>
    <row r="18" spans="2:15" x14ac:dyDescent="0.35">
      <c r="D18" s="1" t="s">
        <v>23</v>
      </c>
      <c r="E18" s="38" t="s">
        <v>18</v>
      </c>
      <c r="F18" s="11">
        <f>meter!J16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16</v>
      </c>
      <c r="F20" s="1">
        <f>meter!H16</f>
        <v>1900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F24" s="11"/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/>
      <c r="E27" s="39"/>
      <c r="F27" s="11"/>
      <c r="N27" s="1">
        <f t="shared" si="0"/>
        <v>11393</v>
      </c>
      <c r="O27" s="1">
        <v>11393</v>
      </c>
    </row>
    <row r="28" spans="2:15" x14ac:dyDescent="0.35">
      <c r="E28" s="1"/>
      <c r="F28" s="11"/>
      <c r="N28" s="1">
        <f t="shared" si="0"/>
        <v>10802</v>
      </c>
      <c r="O28" s="1">
        <v>10802</v>
      </c>
    </row>
    <row r="29" spans="2:15" x14ac:dyDescent="0.35">
      <c r="F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D30" s="1" t="s">
        <v>10</v>
      </c>
      <c r="E30" s="1" t="s">
        <v>19</v>
      </c>
      <c r="F30" s="11">
        <f>SUM(F17:F29)</f>
        <v>1900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25</v>
      </c>
      <c r="E32" s="1"/>
      <c r="F32" s="11">
        <f>meter!L16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55</v>
      </c>
      <c r="E34" s="1"/>
      <c r="F34" s="13">
        <f>F30-F32</f>
        <v>1900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11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 t="s">
        <v>114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E40" s="1"/>
    </row>
    <row r="41" spans="1:18" x14ac:dyDescent="0.35">
      <c r="A41" s="1" t="s">
        <v>47</v>
      </c>
      <c r="B41" s="15"/>
      <c r="E41" s="1"/>
    </row>
    <row r="42" spans="1:18" x14ac:dyDescent="0.35">
      <c r="A42" s="1" t="s">
        <v>48</v>
      </c>
      <c r="B42" s="15"/>
      <c r="E42" s="1"/>
    </row>
    <row r="43" spans="1:18" x14ac:dyDescent="0.35">
      <c r="A43" s="1" t="s">
        <v>49</v>
      </c>
      <c r="B43" s="4"/>
      <c r="E43" s="1"/>
    </row>
    <row r="44" spans="1:18" x14ac:dyDescent="0.35">
      <c r="B44" s="4"/>
      <c r="E44" s="1"/>
      <c r="I44" s="41"/>
    </row>
    <row r="45" spans="1:18" x14ac:dyDescent="0.35">
      <c r="A45" s="16"/>
      <c r="B45" s="4"/>
      <c r="E45" s="1"/>
      <c r="G45" s="16"/>
      <c r="H45" s="16"/>
    </row>
    <row r="46" spans="1:18" x14ac:dyDescent="0.35">
      <c r="B46" s="4"/>
      <c r="E46" s="1"/>
    </row>
    <row r="47" spans="1:18" ht="32" x14ac:dyDescent="0.7">
      <c r="B47" s="17" t="s">
        <v>127</v>
      </c>
      <c r="C47" s="18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E49" s="1"/>
      <c r="O49" s="1" t="s">
        <v>74</v>
      </c>
    </row>
    <row r="50" spans="1:15" ht="32" x14ac:dyDescent="0.7">
      <c r="A50" s="1" t="s">
        <v>50</v>
      </c>
      <c r="B50" s="17"/>
      <c r="E50" s="1"/>
      <c r="G50" s="15"/>
      <c r="H50" s="15"/>
    </row>
    <row r="51" spans="1:15" ht="32" x14ac:dyDescent="0.7">
      <c r="A51" s="15"/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  <c r="E52" s="1"/>
    </row>
    <row r="53" spans="1:15" x14ac:dyDescent="0.35">
      <c r="B53" s="15"/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K51"/>
  </mergeCells>
  <pageMargins left="0.7" right="0.7" top="0.75" bottom="0.75" header="0.3" footer="0.3"/>
  <pageSetup paperSize="9" scale="6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IV55"/>
  <sheetViews>
    <sheetView topLeftCell="A19" zoomScale="60" workbookViewId="0">
      <selection activeCell="B47" sqref="B47"/>
    </sheetView>
  </sheetViews>
  <sheetFormatPr defaultColWidth="9" defaultRowHeight="14.5" x14ac:dyDescent="0.35"/>
  <cols>
    <col min="1" max="1" width="9.1796875" style="1" customWidth="1"/>
    <col min="2" max="2" width="21.26953125" style="1" customWidth="1"/>
    <col min="3" max="3" width="0.26953125" style="1" customWidth="1"/>
    <col min="4" max="4" width="28.7265625" style="1" customWidth="1"/>
    <col min="5" max="5" width="13.1796875" style="38" customWidth="1"/>
    <col min="6" max="6" width="12.54296875" style="1" customWidth="1"/>
    <col min="7" max="7" width="1" style="1" customWidth="1"/>
    <col min="8" max="8" width="9.1796875" style="1" customWidth="1"/>
    <col min="9" max="9" width="9.26953125" style="1" customWidth="1"/>
    <col min="10" max="10" width="13.453125" style="1" customWidth="1"/>
    <col min="11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112</v>
      </c>
      <c r="N2" s="1" t="s">
        <v>71</v>
      </c>
      <c r="O2" s="1" t="s">
        <v>70</v>
      </c>
    </row>
    <row r="3" spans="2:15" x14ac:dyDescent="0.35">
      <c r="B3" s="1" t="str">
        <f>'FROM BOREHOLE'!B3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'FROM BOREHOLE'!H4+15-1</f>
        <v>20242015</v>
      </c>
      <c r="J4" s="1">
        <f>'FROM BOREHOLE'!H4+15-1</f>
        <v>20242015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D6" s="4" t="str">
        <f>meter!A17</f>
        <v>NAMBOKAH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D9" s="22"/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62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meter!D17</f>
        <v>152</v>
      </c>
      <c r="C16" s="8"/>
      <c r="D16" s="8">
        <f>meter!E17</f>
        <v>0</v>
      </c>
      <c r="E16" s="38" t="s">
        <v>17</v>
      </c>
      <c r="F16" s="9">
        <f>D16-B16</f>
        <v>-152</v>
      </c>
      <c r="N16" s="1">
        <f t="shared" si="0"/>
        <v>9420</v>
      </c>
      <c r="O16" s="1">
        <v>9420</v>
      </c>
    </row>
    <row r="17" spans="2:15" x14ac:dyDescent="0.35">
      <c r="F17" s="1" t="s">
        <v>42</v>
      </c>
      <c r="N17" s="1">
        <f t="shared" si="0"/>
        <v>11154</v>
      </c>
      <c r="O17" s="1">
        <v>11154</v>
      </c>
    </row>
    <row r="18" spans="2:15" x14ac:dyDescent="0.35">
      <c r="D18" s="1" t="s">
        <v>23</v>
      </c>
      <c r="E18" s="38" t="s">
        <v>18</v>
      </c>
      <c r="F18" s="11">
        <f>meter!J17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16</v>
      </c>
      <c r="F20" s="1">
        <f>meter!H17</f>
        <v>-15200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F24" s="11"/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/>
      <c r="E27" s="39"/>
      <c r="F27" s="11"/>
      <c r="N27" s="1">
        <f t="shared" si="0"/>
        <v>11393</v>
      </c>
      <c r="O27" s="1">
        <v>11393</v>
      </c>
    </row>
    <row r="28" spans="2:15" x14ac:dyDescent="0.35">
      <c r="E28" s="1"/>
      <c r="F28" s="11"/>
      <c r="N28" s="1">
        <f t="shared" si="0"/>
        <v>10802</v>
      </c>
      <c r="O28" s="1">
        <v>10802</v>
      </c>
    </row>
    <row r="29" spans="2:15" x14ac:dyDescent="0.35">
      <c r="F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C30" s="1" t="s">
        <v>10</v>
      </c>
      <c r="D30" s="1" t="s">
        <v>56</v>
      </c>
      <c r="E30" s="1" t="s">
        <v>19</v>
      </c>
      <c r="F30" s="13">
        <f>SUM(F17:F29)</f>
        <v>-15200</v>
      </c>
      <c r="G30" s="13"/>
      <c r="N30" s="1">
        <f t="shared" si="0"/>
        <v>9570</v>
      </c>
      <c r="O30" s="1">
        <v>9570</v>
      </c>
    </row>
    <row r="31" spans="2:15" x14ac:dyDescent="0.35">
      <c r="E31" s="11"/>
      <c r="N31" s="1">
        <f t="shared" si="0"/>
        <v>11390</v>
      </c>
      <c r="O31" s="1">
        <v>11390</v>
      </c>
    </row>
    <row r="32" spans="2:15" x14ac:dyDescent="0.35">
      <c r="C32" s="1" t="s">
        <v>25</v>
      </c>
      <c r="E32" s="11" t="s">
        <v>57</v>
      </c>
      <c r="F32" s="1">
        <f>meter!L17</f>
        <v>0</v>
      </c>
      <c r="N32" s="1">
        <f t="shared" si="0"/>
        <v>10750</v>
      </c>
      <c r="O32" s="1">
        <v>10750</v>
      </c>
    </row>
    <row r="33" spans="1:18" x14ac:dyDescent="0.35">
      <c r="E33" s="11"/>
      <c r="N33" s="1">
        <f t="shared" si="0"/>
        <v>11732</v>
      </c>
      <c r="O33" s="1">
        <v>11732</v>
      </c>
    </row>
    <row r="34" spans="1:18" x14ac:dyDescent="0.35">
      <c r="C34" s="1" t="s">
        <v>54</v>
      </c>
      <c r="D34" s="1" t="s">
        <v>55</v>
      </c>
      <c r="E34" s="13" t="s">
        <v>16</v>
      </c>
      <c r="F34" s="13">
        <f>F30-F32</f>
        <v>-15200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10" t="s">
        <v>11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 t="s">
        <v>114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E40" s="1"/>
    </row>
    <row r="41" spans="1:18" x14ac:dyDescent="0.35">
      <c r="A41" s="1" t="s">
        <v>47</v>
      </c>
      <c r="B41" s="15"/>
      <c r="E41" s="1"/>
    </row>
    <row r="42" spans="1:18" x14ac:dyDescent="0.35">
      <c r="A42" s="1" t="s">
        <v>48</v>
      </c>
      <c r="B42" s="15"/>
      <c r="E42" s="1"/>
      <c r="I42" s="41"/>
      <c r="J42" s="16"/>
    </row>
    <row r="43" spans="1:18" x14ac:dyDescent="0.35">
      <c r="A43" s="1" t="s">
        <v>49</v>
      </c>
      <c r="B43" s="4"/>
      <c r="E43" s="1"/>
    </row>
    <row r="44" spans="1:18" x14ac:dyDescent="0.35">
      <c r="B44" s="4"/>
      <c r="E44" s="1"/>
    </row>
    <row r="45" spans="1:18" x14ac:dyDescent="0.35">
      <c r="A45" s="16"/>
      <c r="B45" s="4"/>
      <c r="E45" s="1"/>
      <c r="G45" s="16"/>
      <c r="H45" s="16"/>
    </row>
    <row r="46" spans="1:18" x14ac:dyDescent="0.35">
      <c r="B46" s="4"/>
      <c r="E46" s="1"/>
    </row>
    <row r="47" spans="1:18" ht="32" x14ac:dyDescent="0.7">
      <c r="B47" s="17" t="s">
        <v>128</v>
      </c>
      <c r="C47" s="18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E49" s="1"/>
      <c r="O49" s="1" t="s">
        <v>74</v>
      </c>
    </row>
    <row r="50" spans="1:15" ht="32" x14ac:dyDescent="0.7">
      <c r="A50" s="15"/>
      <c r="B50" s="17"/>
      <c r="E50" s="1"/>
      <c r="G50" s="15"/>
      <c r="H50" s="15"/>
    </row>
    <row r="51" spans="1:15" ht="32" x14ac:dyDescent="0.7">
      <c r="A51" s="15"/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  <c r="E52" s="1"/>
    </row>
    <row r="53" spans="1:15" x14ac:dyDescent="0.35">
      <c r="B53" s="15"/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K51"/>
  </mergeCells>
  <pageMargins left="0.7" right="0.7" top="0.75" bottom="0.75" header="0.3" footer="0.3"/>
  <pageSetup paperSize="9" scale="74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IV55"/>
  <sheetViews>
    <sheetView topLeftCell="A41" zoomScale="60" workbookViewId="0">
      <selection activeCell="B47" sqref="B47"/>
    </sheetView>
  </sheetViews>
  <sheetFormatPr defaultColWidth="9" defaultRowHeight="14.5" x14ac:dyDescent="0.35"/>
  <cols>
    <col min="1" max="1" width="9.1796875" style="1" customWidth="1"/>
    <col min="2" max="2" width="17" style="1" customWidth="1"/>
    <col min="3" max="3" width="3.453125" style="1" customWidth="1"/>
    <col min="4" max="4" width="31.54296875" style="1" customWidth="1"/>
    <col min="5" max="5" width="6.54296875" style="38" customWidth="1"/>
    <col min="6" max="6" width="15.7265625" style="1" customWidth="1"/>
    <col min="7" max="8" width="9.1796875" style="1" customWidth="1"/>
    <col min="9" max="9" width="14.7265625" style="1" customWidth="1"/>
    <col min="10" max="11" width="9.1796875" style="1" hidden="1" customWidth="1"/>
    <col min="12" max="12" width="0.26953125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91" t="s">
        <v>112</v>
      </c>
      <c r="N2" s="1" t="s">
        <v>71</v>
      </c>
      <c r="O2" s="1" t="s">
        <v>70</v>
      </c>
    </row>
    <row r="3" spans="2:15" x14ac:dyDescent="0.35">
      <c r="B3" s="1" t="str">
        <f>'FROM BOREHOLE'!B3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'FROM BOREHOLE'!H4+16-1</f>
        <v>20242016</v>
      </c>
      <c r="M4" s="1">
        <f>'FROM BOREHOLE'!H4+16-1</f>
        <v>20242016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D6" s="4" t="str">
        <f>meter!A18</f>
        <v>KIMANI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62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ht="29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meter!D18</f>
        <v>33</v>
      </c>
      <c r="C16" s="8"/>
      <c r="D16" s="8">
        <f>meter!E18</f>
        <v>41</v>
      </c>
      <c r="E16" s="38" t="s">
        <v>17</v>
      </c>
      <c r="F16" s="9">
        <f>D16-B16</f>
        <v>8</v>
      </c>
      <c r="N16" s="1">
        <f t="shared" si="0"/>
        <v>9420</v>
      </c>
      <c r="O16" s="1">
        <v>9420</v>
      </c>
    </row>
    <row r="17" spans="2:15" x14ac:dyDescent="0.35">
      <c r="F17" s="1" t="s">
        <v>41</v>
      </c>
      <c r="N17" s="1">
        <f t="shared" si="0"/>
        <v>11154</v>
      </c>
      <c r="O17" s="1">
        <v>11154</v>
      </c>
    </row>
    <row r="18" spans="2:15" x14ac:dyDescent="0.35">
      <c r="D18" s="1" t="s">
        <v>23</v>
      </c>
      <c r="E18" s="38" t="s">
        <v>18</v>
      </c>
      <c r="F18" s="11">
        <f>meter!J18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16</v>
      </c>
      <c r="F20" s="1">
        <f>meter!H18</f>
        <v>800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F24" s="11"/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/>
      <c r="E27" s="39"/>
      <c r="F27" s="11"/>
      <c r="N27" s="1">
        <f t="shared" si="0"/>
        <v>11393</v>
      </c>
      <c r="O27" s="1">
        <v>11393</v>
      </c>
    </row>
    <row r="28" spans="2:15" x14ac:dyDescent="0.35">
      <c r="F28" s="11"/>
      <c r="N28" s="1">
        <f t="shared" si="0"/>
        <v>10802</v>
      </c>
      <c r="O28" s="1">
        <v>10802</v>
      </c>
    </row>
    <row r="29" spans="2:15" x14ac:dyDescent="0.35">
      <c r="F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D30" s="1" t="s">
        <v>10</v>
      </c>
      <c r="E30" s="1" t="s">
        <v>19</v>
      </c>
      <c r="F30" s="11">
        <f>SUM(F17:F29)</f>
        <v>800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25</v>
      </c>
      <c r="E32" s="1"/>
      <c r="F32" s="11">
        <f>meter!L18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55</v>
      </c>
      <c r="E34" s="1"/>
      <c r="F34" s="13">
        <f>F30-F32</f>
        <v>800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11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 t="s">
        <v>114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E40" s="1"/>
    </row>
    <row r="41" spans="1:18" x14ac:dyDescent="0.35">
      <c r="A41" s="1" t="s">
        <v>47</v>
      </c>
      <c r="B41" s="15"/>
      <c r="E41" s="1"/>
    </row>
    <row r="42" spans="1:18" x14ac:dyDescent="0.35">
      <c r="A42" s="1" t="s">
        <v>48</v>
      </c>
      <c r="B42" s="15"/>
      <c r="E42" s="1"/>
    </row>
    <row r="43" spans="1:18" x14ac:dyDescent="0.35">
      <c r="A43" s="1" t="s">
        <v>49</v>
      </c>
      <c r="B43" s="4"/>
      <c r="E43" s="1"/>
    </row>
    <row r="44" spans="1:18" x14ac:dyDescent="0.35">
      <c r="B44" s="4"/>
      <c r="E44" s="1"/>
      <c r="I44" s="41"/>
      <c r="J44" s="42"/>
    </row>
    <row r="45" spans="1:18" x14ac:dyDescent="0.35">
      <c r="A45" s="16"/>
      <c r="B45" s="4"/>
      <c r="E45" s="1"/>
      <c r="G45" s="16"/>
      <c r="H45" s="16"/>
    </row>
    <row r="46" spans="1:18" x14ac:dyDescent="0.35">
      <c r="B46" s="4"/>
      <c r="E46" s="1"/>
    </row>
    <row r="47" spans="1:18" ht="32" x14ac:dyDescent="0.7">
      <c r="B47" s="17" t="s">
        <v>129</v>
      </c>
      <c r="C47" s="18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E49" s="1"/>
      <c r="O49" s="1" t="s">
        <v>74</v>
      </c>
    </row>
    <row r="50" spans="1:15" ht="32" x14ac:dyDescent="0.7">
      <c r="A50" s="1" t="s">
        <v>50</v>
      </c>
      <c r="B50" s="17"/>
      <c r="E50" s="1"/>
      <c r="G50" s="15"/>
      <c r="H50" s="15"/>
    </row>
    <row r="51" spans="1:15" ht="32" x14ac:dyDescent="0.7">
      <c r="A51" s="15"/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  <c r="E52" s="1"/>
    </row>
    <row r="53" spans="1:15" x14ac:dyDescent="0.35">
      <c r="B53" s="15"/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K51"/>
  </mergeCells>
  <pageMargins left="0.7" right="0.7" top="0.75" bottom="0.75" header="0.3" footer="0.3"/>
  <pageSetup paperSize="9" scale="64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IV55"/>
  <sheetViews>
    <sheetView topLeftCell="A29" zoomScale="60" workbookViewId="0">
      <selection activeCell="D53" sqref="D53"/>
    </sheetView>
  </sheetViews>
  <sheetFormatPr defaultColWidth="9" defaultRowHeight="14.5" x14ac:dyDescent="0.35"/>
  <cols>
    <col min="1" max="1" width="9.1796875" style="1" customWidth="1"/>
    <col min="2" max="2" width="14.81640625" style="1" customWidth="1"/>
    <col min="3" max="3" width="0.26953125" style="1" customWidth="1"/>
    <col min="4" max="4" width="45.7265625" style="1" customWidth="1"/>
    <col min="5" max="5" width="13.1796875" style="38" customWidth="1"/>
    <col min="6" max="6" width="16.26953125" style="1" customWidth="1"/>
    <col min="7" max="7" width="1.26953125" style="1" customWidth="1"/>
    <col min="8" max="8" width="9.7265625" style="1" customWidth="1"/>
    <col min="9" max="9" width="15.54296875" style="1" customWidth="1"/>
    <col min="10" max="11" width="9.1796875" style="1" hidden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112</v>
      </c>
      <c r="N2" s="1" t="s">
        <v>71</v>
      </c>
      <c r="O2" s="1" t="s">
        <v>70</v>
      </c>
    </row>
    <row r="3" spans="2:15" x14ac:dyDescent="0.35">
      <c r="B3" s="1" t="str">
        <f>'FROM BOREHOLE'!B3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'FROM BOREHOLE'!H4+17-1</f>
        <v>20242017</v>
      </c>
      <c r="J4" s="1">
        <f>'FROM BOREHOLE'!H4+17-1</f>
        <v>20242017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D6" s="4" t="str">
        <f>meter!A19</f>
        <v>Agnes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D9" s="22"/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ht="29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meter!D19</f>
        <v>14</v>
      </c>
      <c r="C16" s="8"/>
      <c r="D16" s="8">
        <f>meter!E19</f>
        <v>14</v>
      </c>
      <c r="E16" s="38" t="s">
        <v>17</v>
      </c>
      <c r="F16" s="9">
        <f>D16-B16</f>
        <v>0</v>
      </c>
      <c r="N16" s="1">
        <f t="shared" si="0"/>
        <v>9420</v>
      </c>
      <c r="O16" s="1">
        <v>9420</v>
      </c>
    </row>
    <row r="17" spans="2:15" x14ac:dyDescent="0.35">
      <c r="F17" s="1" t="s">
        <v>41</v>
      </c>
      <c r="N17" s="1">
        <f t="shared" si="0"/>
        <v>11154</v>
      </c>
      <c r="O17" s="1">
        <v>11154</v>
      </c>
    </row>
    <row r="18" spans="2:15" x14ac:dyDescent="0.35">
      <c r="D18" s="1" t="s">
        <v>23</v>
      </c>
      <c r="E18" s="38" t="s">
        <v>18</v>
      </c>
      <c r="F18" s="11">
        <f>meter!J19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16</v>
      </c>
      <c r="F20" s="11">
        <f>meter!H19</f>
        <v>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F24" s="11"/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/>
      <c r="E27" s="39"/>
      <c r="F27" s="11"/>
      <c r="N27" s="1">
        <f t="shared" si="0"/>
        <v>11393</v>
      </c>
      <c r="O27" s="1">
        <v>11393</v>
      </c>
    </row>
    <row r="28" spans="2:15" x14ac:dyDescent="0.35">
      <c r="F28" s="11"/>
      <c r="N28" s="1">
        <f t="shared" si="0"/>
        <v>10802</v>
      </c>
      <c r="O28" s="1">
        <v>10802</v>
      </c>
    </row>
    <row r="29" spans="2:15" x14ac:dyDescent="0.35">
      <c r="F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D30" s="1" t="s">
        <v>10</v>
      </c>
      <c r="E30" s="1" t="s">
        <v>19</v>
      </c>
      <c r="F30" s="11">
        <f>SUM(F17:F29)</f>
        <v>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25</v>
      </c>
      <c r="E32" s="1"/>
      <c r="F32" s="11">
        <f>meter!L19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55</v>
      </c>
      <c r="E34" s="1"/>
      <c r="F34" s="13">
        <f>F30-F32</f>
        <v>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11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 t="s">
        <v>114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E40" s="1"/>
    </row>
    <row r="41" spans="1:18" x14ac:dyDescent="0.35">
      <c r="A41" s="1" t="s">
        <v>47</v>
      </c>
      <c r="B41" s="15"/>
      <c r="E41" s="1"/>
    </row>
    <row r="42" spans="1:18" x14ac:dyDescent="0.35">
      <c r="A42" s="1" t="s">
        <v>48</v>
      </c>
      <c r="B42" s="15"/>
      <c r="E42" s="1"/>
    </row>
    <row r="43" spans="1:18" x14ac:dyDescent="0.35">
      <c r="A43" s="1" t="s">
        <v>49</v>
      </c>
      <c r="B43" s="4"/>
      <c r="E43" s="1"/>
    </row>
    <row r="44" spans="1:18" x14ac:dyDescent="0.35">
      <c r="B44" s="4"/>
      <c r="E44" s="1"/>
      <c r="I44" s="41"/>
    </row>
    <row r="45" spans="1:18" x14ac:dyDescent="0.35">
      <c r="A45" s="16"/>
      <c r="B45" s="4"/>
      <c r="E45" s="1"/>
      <c r="G45" s="16"/>
      <c r="H45" s="16"/>
    </row>
    <row r="46" spans="1:18" x14ac:dyDescent="0.35">
      <c r="B46" s="4"/>
      <c r="E46" s="1"/>
    </row>
    <row r="47" spans="1:18" ht="32" x14ac:dyDescent="0.7">
      <c r="B47" s="17" t="s">
        <v>130</v>
      </c>
      <c r="C47" s="18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E49" s="1"/>
      <c r="O49" s="1" t="s">
        <v>74</v>
      </c>
    </row>
    <row r="50" spans="1:15" ht="32" x14ac:dyDescent="0.7">
      <c r="A50" s="1" t="s">
        <v>50</v>
      </c>
      <c r="B50" s="17"/>
      <c r="E50" s="1"/>
      <c r="G50" s="15"/>
      <c r="H50" s="15"/>
    </row>
    <row r="51" spans="1:15" ht="32" x14ac:dyDescent="0.7">
      <c r="A51" s="15"/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  <c r="E52" s="1"/>
    </row>
    <row r="53" spans="1:15" x14ac:dyDescent="0.35">
      <c r="B53" s="15"/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K51"/>
  </mergeCells>
  <pageMargins left="0.7" right="0.7" top="0.75" bottom="0.75" header="0.3" footer="0.3"/>
  <pageSetup paperSize="9" scale="62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IV55"/>
  <sheetViews>
    <sheetView topLeftCell="A26" zoomScale="60" workbookViewId="0">
      <selection activeCell="B47" sqref="B47"/>
    </sheetView>
  </sheetViews>
  <sheetFormatPr defaultColWidth="9" defaultRowHeight="14.5" x14ac:dyDescent="0.35"/>
  <cols>
    <col min="1" max="1" width="9.1796875" style="1" customWidth="1"/>
    <col min="2" max="2" width="22" style="1" customWidth="1"/>
    <col min="3" max="3" width="2.453125" style="1" customWidth="1"/>
    <col min="4" max="4" width="35.1796875" style="1" customWidth="1"/>
    <col min="5" max="5" width="13.1796875" style="38" customWidth="1"/>
    <col min="6" max="6" width="19.453125" style="1" customWidth="1"/>
    <col min="7" max="7" width="5" style="1" hidden="1" customWidth="1"/>
    <col min="8" max="8" width="9.1796875" style="1" customWidth="1"/>
    <col min="9" max="9" width="14.453125" style="1" customWidth="1"/>
    <col min="10" max="11" width="9.1796875" style="1" customWidth="1"/>
    <col min="12" max="12" width="0.1796875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112</v>
      </c>
      <c r="N2" s="1" t="s">
        <v>71</v>
      </c>
      <c r="O2" s="1" t="s">
        <v>70</v>
      </c>
    </row>
    <row r="3" spans="2:15" x14ac:dyDescent="0.35">
      <c r="B3" s="1" t="str">
        <f>'FROM BOREHOLE'!B3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'FROM BOREHOLE'!H4+18-1</f>
        <v>20242018</v>
      </c>
      <c r="K4" s="1">
        <f>'FROM BOREHOLE'!H4+18-1</f>
        <v>20242018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D6" s="4" t="str">
        <f>meter!A20</f>
        <v>Nancy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meter!D20</f>
        <v>289</v>
      </c>
      <c r="C16" s="8"/>
      <c r="D16" s="8">
        <f>meter!E20</f>
        <v>0</v>
      </c>
      <c r="E16" s="38" t="s">
        <v>17</v>
      </c>
      <c r="F16" s="9">
        <f>D16-B16</f>
        <v>-289</v>
      </c>
      <c r="N16" s="1">
        <f t="shared" si="0"/>
        <v>9420</v>
      </c>
      <c r="O16" s="1">
        <v>9420</v>
      </c>
    </row>
    <row r="17" spans="2:15" x14ac:dyDescent="0.35">
      <c r="F17" s="1" t="s">
        <v>41</v>
      </c>
      <c r="N17" s="1">
        <f t="shared" si="0"/>
        <v>11154</v>
      </c>
      <c r="O17" s="1">
        <v>11154</v>
      </c>
    </row>
    <row r="18" spans="2:15" x14ac:dyDescent="0.35">
      <c r="D18" s="1" t="s">
        <v>23</v>
      </c>
      <c r="E18" s="38" t="s">
        <v>19</v>
      </c>
      <c r="F18" s="1">
        <f>meter!J20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16</v>
      </c>
      <c r="F20" s="1">
        <f>meter!H20</f>
        <v>-28900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F24" s="11"/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/>
      <c r="E27" s="39"/>
      <c r="F27" s="11"/>
      <c r="N27" s="1">
        <f t="shared" si="0"/>
        <v>11393</v>
      </c>
      <c r="O27" s="1">
        <v>11393</v>
      </c>
    </row>
    <row r="28" spans="2:15" x14ac:dyDescent="0.35">
      <c r="E28" s="1"/>
      <c r="F28" s="11"/>
      <c r="N28" s="1">
        <f t="shared" si="0"/>
        <v>10802</v>
      </c>
      <c r="O28" s="1">
        <v>10802</v>
      </c>
    </row>
    <row r="29" spans="2:15" x14ac:dyDescent="0.35">
      <c r="F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D30" s="1" t="s">
        <v>10</v>
      </c>
      <c r="E30" s="1" t="s">
        <v>19</v>
      </c>
      <c r="F30" s="11">
        <f>SUM(F17:F29)</f>
        <v>-28900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25</v>
      </c>
      <c r="E32" s="1"/>
      <c r="F32" s="11">
        <f>meter!L20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55</v>
      </c>
      <c r="E34" s="1"/>
      <c r="F34" s="13">
        <f>F30-F32</f>
        <v>-28900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11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 t="s">
        <v>114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E40" s="1"/>
    </row>
    <row r="41" spans="1:18" x14ac:dyDescent="0.35">
      <c r="A41" s="1" t="s">
        <v>47</v>
      </c>
      <c r="B41" s="15"/>
      <c r="E41" s="1"/>
    </row>
    <row r="42" spans="1:18" x14ac:dyDescent="0.35">
      <c r="A42" s="1" t="s">
        <v>48</v>
      </c>
      <c r="B42" s="15"/>
      <c r="E42" s="1"/>
    </row>
    <row r="43" spans="1:18" x14ac:dyDescent="0.35">
      <c r="A43" s="1" t="s">
        <v>49</v>
      </c>
      <c r="B43" s="4"/>
      <c r="E43" s="1"/>
    </row>
    <row r="44" spans="1:18" x14ac:dyDescent="0.35">
      <c r="B44" s="4"/>
      <c r="E44" s="1"/>
      <c r="I44" s="41"/>
      <c r="J44" s="42"/>
    </row>
    <row r="45" spans="1:18" x14ac:dyDescent="0.35">
      <c r="A45" s="16"/>
      <c r="B45" s="4"/>
      <c r="E45" s="1"/>
      <c r="G45" s="16"/>
      <c r="H45" s="16"/>
    </row>
    <row r="46" spans="1:18" x14ac:dyDescent="0.35">
      <c r="B46" s="4"/>
      <c r="E46" s="1"/>
    </row>
    <row r="47" spans="1:18" ht="32" x14ac:dyDescent="0.7">
      <c r="B47" s="17" t="s">
        <v>131</v>
      </c>
      <c r="C47" s="18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E49" s="1"/>
      <c r="O49" s="1" t="s">
        <v>74</v>
      </c>
    </row>
    <row r="50" spans="1:15" ht="32" x14ac:dyDescent="0.7">
      <c r="A50" s="1" t="s">
        <v>50</v>
      </c>
      <c r="B50" s="17"/>
      <c r="E50" s="1"/>
      <c r="G50" s="15"/>
      <c r="H50" s="15"/>
    </row>
    <row r="51" spans="1:15" ht="32" x14ac:dyDescent="0.7">
      <c r="A51" s="15"/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  <c r="E52" s="1"/>
    </row>
    <row r="53" spans="1:15" x14ac:dyDescent="0.35">
      <c r="B53" s="15"/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K51"/>
  </mergeCells>
  <pageMargins left="0.7" right="0.7" top="0.75" bottom="0.75" header="0.3" footer="0.3"/>
  <pageSetup paperSize="9" scale="68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IV58"/>
  <sheetViews>
    <sheetView topLeftCell="A27" zoomScale="60" workbookViewId="0">
      <selection activeCell="B47" sqref="B47"/>
    </sheetView>
  </sheetViews>
  <sheetFormatPr defaultColWidth="9" defaultRowHeight="14.5" x14ac:dyDescent="0.35"/>
  <cols>
    <col min="1" max="1" width="9.1796875" style="1" customWidth="1"/>
    <col min="2" max="2" width="23.1796875" style="1" customWidth="1"/>
    <col min="3" max="3" width="9.1796875" style="1" customWidth="1"/>
    <col min="4" max="4" width="19.81640625" style="1" customWidth="1"/>
    <col min="5" max="5" width="13.1796875" style="38" customWidth="1"/>
    <col min="6" max="6" width="25.81640625" style="1" customWidth="1"/>
    <col min="7" max="7" width="9.1796875" style="1" customWidth="1"/>
    <col min="8" max="8" width="13.81640625" style="1" customWidth="1"/>
    <col min="9" max="9" width="17.54296875" style="1" customWidth="1"/>
    <col min="10" max="10" width="0.26953125" style="1" customWidth="1"/>
    <col min="11" max="11" width="0.542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112</v>
      </c>
      <c r="N2" s="1" t="s">
        <v>71</v>
      </c>
      <c r="O2" s="1" t="s">
        <v>70</v>
      </c>
    </row>
    <row r="3" spans="2:15" x14ac:dyDescent="0.35">
      <c r="B3" s="1" t="str">
        <f>'FROM BOREHOLE'!B3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'FROM BOREHOLE'!H4+19-1</f>
        <v>20242019</v>
      </c>
      <c r="I4" s="1">
        <f>'FROM BOREHOLE'!H4+19-1</f>
        <v>20242019</v>
      </c>
      <c r="N4" s="1">
        <f t="shared" ref="N4:N38" si="0">O4-Q4</f>
        <v>10304</v>
      </c>
      <c r="O4" s="1">
        <v>10304</v>
      </c>
    </row>
    <row r="5" spans="2:15" x14ac:dyDescent="0.35">
      <c r="G5" s="1">
        <f>'FROM BOREHOLE'!H4+19-1</f>
        <v>20242019</v>
      </c>
      <c r="N5" s="1">
        <f t="shared" si="0"/>
        <v>10988</v>
      </c>
      <c r="O5" s="1">
        <v>10988</v>
      </c>
    </row>
    <row r="6" spans="2:15" x14ac:dyDescent="0.35">
      <c r="B6" s="1" t="s">
        <v>111</v>
      </c>
      <c r="D6" s="4" t="str">
        <f>meter!A21</f>
        <v xml:space="preserve"> Kurgat samson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meter!D21</f>
        <v>300</v>
      </c>
      <c r="C16" s="8"/>
      <c r="D16" s="8">
        <f>meter!E21</f>
        <v>0</v>
      </c>
      <c r="E16" s="38" t="s">
        <v>17</v>
      </c>
      <c r="F16" s="9">
        <f>D16-B16+I16</f>
        <v>-300</v>
      </c>
      <c r="N16" s="1">
        <f t="shared" si="0"/>
        <v>9420</v>
      </c>
      <c r="O16" s="1">
        <v>9420</v>
      </c>
    </row>
    <row r="17" spans="2:15" x14ac:dyDescent="0.35">
      <c r="F17" s="1" t="s">
        <v>41</v>
      </c>
      <c r="N17" s="1">
        <f t="shared" si="0"/>
        <v>11154</v>
      </c>
      <c r="O17" s="1">
        <v>11154</v>
      </c>
    </row>
    <row r="18" spans="2:15" x14ac:dyDescent="0.35">
      <c r="D18" s="1" t="s">
        <v>23</v>
      </c>
      <c r="E18" s="38" t="s">
        <v>19</v>
      </c>
      <c r="F18" s="11">
        <f>meter!J21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16</v>
      </c>
      <c r="F20" s="1">
        <f>meter!H21</f>
        <v>-30000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F24" s="11"/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/>
      <c r="E27" s="39"/>
      <c r="F27" s="11"/>
      <c r="N27" s="1">
        <f t="shared" si="0"/>
        <v>11393</v>
      </c>
      <c r="O27" s="1">
        <v>11393</v>
      </c>
    </row>
    <row r="28" spans="2:15" x14ac:dyDescent="0.35">
      <c r="F28" s="11"/>
      <c r="N28" s="1">
        <f t="shared" si="0"/>
        <v>10802</v>
      </c>
      <c r="O28" s="1">
        <v>10802</v>
      </c>
    </row>
    <row r="29" spans="2:15" x14ac:dyDescent="0.35">
      <c r="F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D30" s="1" t="s">
        <v>10</v>
      </c>
      <c r="E30" s="1" t="s">
        <v>19</v>
      </c>
      <c r="F30" s="11">
        <f>SUM(F17:F29)</f>
        <v>-30000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25</v>
      </c>
      <c r="E32" s="1"/>
      <c r="F32" s="11">
        <f>meter!L21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55</v>
      </c>
      <c r="E34" s="1"/>
      <c r="F34" s="13">
        <f>F30-F32</f>
        <v>-30000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11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 t="s">
        <v>114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E40" s="1"/>
    </row>
    <row r="41" spans="1:18" x14ac:dyDescent="0.35">
      <c r="A41" s="1" t="s">
        <v>47</v>
      </c>
      <c r="B41" s="15"/>
      <c r="E41" s="1"/>
    </row>
    <row r="42" spans="1:18" x14ac:dyDescent="0.35">
      <c r="A42" s="1" t="s">
        <v>48</v>
      </c>
      <c r="B42" s="15"/>
      <c r="E42" s="1"/>
    </row>
    <row r="43" spans="1:18" x14ac:dyDescent="0.35">
      <c r="A43" s="1" t="s">
        <v>49</v>
      </c>
      <c r="B43" s="4"/>
      <c r="E43" s="1"/>
    </row>
    <row r="44" spans="1:18" x14ac:dyDescent="0.35">
      <c r="B44" s="4"/>
      <c r="E44" s="1"/>
      <c r="I44" s="41"/>
    </row>
    <row r="45" spans="1:18" x14ac:dyDescent="0.35">
      <c r="A45" s="16"/>
      <c r="B45" s="4"/>
      <c r="E45" s="1"/>
      <c r="G45" s="16"/>
      <c r="H45" s="16"/>
    </row>
    <row r="46" spans="1:18" x14ac:dyDescent="0.35">
      <c r="B46" s="4"/>
      <c r="E46" s="1"/>
    </row>
    <row r="47" spans="1:18" ht="32" x14ac:dyDescent="0.7">
      <c r="B47" s="17" t="s">
        <v>132</v>
      </c>
      <c r="C47" s="18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8" x14ac:dyDescent="0.35">
      <c r="A49" s="15"/>
      <c r="B49" s="16"/>
      <c r="E49" s="1"/>
      <c r="O49" s="1" t="s">
        <v>74</v>
      </c>
    </row>
    <row r="50" spans="1:18" ht="32" x14ac:dyDescent="0.7">
      <c r="A50" s="1" t="s">
        <v>50</v>
      </c>
      <c r="B50" s="17"/>
      <c r="E50" s="1"/>
      <c r="G50" s="15"/>
      <c r="H50" s="15"/>
    </row>
    <row r="51" spans="1:18" ht="32" x14ac:dyDescent="0.7">
      <c r="A51" s="15"/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8" x14ac:dyDescent="0.35">
      <c r="A52" s="15"/>
      <c r="B52" s="15"/>
      <c r="C52" s="4"/>
      <c r="E52" s="1"/>
    </row>
    <row r="53" spans="1:18" x14ac:dyDescent="0.35">
      <c r="B53" s="15"/>
      <c r="C53" s="15"/>
      <c r="E53" s="1"/>
    </row>
    <row r="54" spans="1:18" x14ac:dyDescent="0.35">
      <c r="E54" s="1"/>
    </row>
    <row r="55" spans="1:18" x14ac:dyDescent="0.35">
      <c r="E55" s="1"/>
    </row>
    <row r="58" spans="1:18" x14ac:dyDescent="0.35">
      <c r="R58" s="1" t="s">
        <v>59</v>
      </c>
    </row>
  </sheetData>
  <mergeCells count="1">
    <mergeCell ref="B51:K51"/>
  </mergeCells>
  <pageMargins left="0.7" right="0.7" top="0.75" bottom="0.75" header="0.3" footer="0.3"/>
  <pageSetup paperSize="9" scale="71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IV55"/>
  <sheetViews>
    <sheetView topLeftCell="A28" zoomScale="60" workbookViewId="0">
      <selection activeCell="B48" sqref="B48"/>
    </sheetView>
  </sheetViews>
  <sheetFormatPr defaultColWidth="9" defaultRowHeight="14.5" x14ac:dyDescent="0.35"/>
  <cols>
    <col min="1" max="1" width="1.54296875" style="1" customWidth="1"/>
    <col min="2" max="2" width="20.54296875" style="1" customWidth="1"/>
    <col min="3" max="3" width="0.1796875" style="1" customWidth="1"/>
    <col min="4" max="4" width="19.81640625" style="1" customWidth="1"/>
    <col min="5" max="5" width="13.1796875" style="38" customWidth="1"/>
    <col min="6" max="6" width="15" style="1" customWidth="1"/>
    <col min="7" max="8" width="9.1796875" style="1" customWidth="1"/>
    <col min="9" max="9" width="9.26953125" style="1" hidden="1" customWidth="1"/>
    <col min="10" max="10" width="13.81640625" style="1" customWidth="1"/>
    <col min="11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112</v>
      </c>
      <c r="N2" s="1" t="s">
        <v>71</v>
      </c>
      <c r="O2" s="1" t="s">
        <v>70</v>
      </c>
    </row>
    <row r="3" spans="2:15" x14ac:dyDescent="0.35">
      <c r="B3" s="1" t="str">
        <f>'FROM BOREHOLE'!B3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'FROM BOREHOLE'!H4+20-1</f>
        <v>20242020</v>
      </c>
      <c r="J4" s="1">
        <f>'FROM BOREHOLE'!H4+20-1</f>
        <v>20242020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D6" s="4" t="str">
        <f>meter!A22</f>
        <v>Jane Mwangi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62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meter!D22</f>
        <v>264</v>
      </c>
      <c r="C16" s="8"/>
      <c r="D16" s="8">
        <f>meter!E22</f>
        <v>278</v>
      </c>
      <c r="E16" s="38" t="s">
        <v>17</v>
      </c>
      <c r="F16" s="9">
        <f>D16-B16</f>
        <v>14</v>
      </c>
      <c r="N16" s="1">
        <f t="shared" si="0"/>
        <v>9420</v>
      </c>
      <c r="O16" s="1">
        <v>9420</v>
      </c>
    </row>
    <row r="17" spans="2:15" x14ac:dyDescent="0.35">
      <c r="N17" s="1">
        <f t="shared" si="0"/>
        <v>11154</v>
      </c>
      <c r="O17" s="1">
        <v>11154</v>
      </c>
    </row>
    <row r="18" spans="2:15" x14ac:dyDescent="0.35">
      <c r="D18" s="1" t="s">
        <v>23</v>
      </c>
      <c r="E18" s="38" t="s">
        <v>19</v>
      </c>
      <c r="F18" s="1">
        <f>meter!J22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16</v>
      </c>
      <c r="F20" s="1">
        <f>meter!H22</f>
        <v>1400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F24" s="11"/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/>
      <c r="E27" s="39"/>
      <c r="F27" s="11"/>
      <c r="N27" s="1">
        <f t="shared" si="0"/>
        <v>11393</v>
      </c>
      <c r="O27" s="1">
        <v>11393</v>
      </c>
    </row>
    <row r="28" spans="2:15" x14ac:dyDescent="0.35">
      <c r="E28" s="1"/>
      <c r="F28" s="11"/>
      <c r="N28" s="1">
        <f t="shared" si="0"/>
        <v>10802</v>
      </c>
      <c r="O28" s="1">
        <v>10802</v>
      </c>
    </row>
    <row r="29" spans="2:15" x14ac:dyDescent="0.35">
      <c r="F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D30" s="1" t="s">
        <v>10</v>
      </c>
      <c r="E30" s="1" t="s">
        <v>19</v>
      </c>
      <c r="F30" s="11">
        <f>SUM(F17:F29)</f>
        <v>1400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25</v>
      </c>
      <c r="E32" s="1"/>
      <c r="F32" s="11"/>
      <c r="N32" s="1">
        <f t="shared" si="0"/>
        <v>10750</v>
      </c>
      <c r="O32" s="1">
        <v>10750</v>
      </c>
    </row>
    <row r="33" spans="1:256" x14ac:dyDescent="0.35">
      <c r="E33" s="1"/>
      <c r="F33" s="11"/>
      <c r="N33" s="1">
        <f t="shared" si="0"/>
        <v>11732</v>
      </c>
      <c r="O33" s="1">
        <v>11732</v>
      </c>
    </row>
    <row r="34" spans="1:256" s="68" customFormat="1" x14ac:dyDescent="0.35">
      <c r="A34" s="65"/>
      <c r="B34" s="65"/>
      <c r="C34" s="65"/>
      <c r="D34" s="65" t="s">
        <v>55</v>
      </c>
      <c r="E34" s="65"/>
      <c r="F34" s="66">
        <f>F30-F32</f>
        <v>1400</v>
      </c>
      <c r="G34" s="65"/>
      <c r="H34" s="65"/>
      <c r="I34" s="65"/>
      <c r="J34" s="65"/>
      <c r="K34" s="65"/>
      <c r="L34" s="65"/>
      <c r="M34" s="65"/>
      <c r="N34" s="65">
        <f t="shared" si="0"/>
        <v>10934</v>
      </c>
      <c r="O34" s="65">
        <v>10934</v>
      </c>
      <c r="P34" s="65"/>
      <c r="Q34" s="65"/>
      <c r="R34" s="65">
        <v>700</v>
      </c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65"/>
      <c r="EJ34" s="65"/>
      <c r="EK34" s="65"/>
      <c r="EL34" s="65"/>
      <c r="EM34" s="65"/>
      <c r="EN34" s="65"/>
      <c r="EO34" s="65"/>
      <c r="EP34" s="65"/>
      <c r="EQ34" s="65"/>
      <c r="ER34" s="65"/>
      <c r="ES34" s="65"/>
      <c r="ET34" s="65"/>
      <c r="EU34" s="65"/>
      <c r="EV34" s="65"/>
      <c r="EW34" s="65"/>
      <c r="EX34" s="65"/>
      <c r="EY34" s="65"/>
      <c r="EZ34" s="65"/>
      <c r="FA34" s="65"/>
      <c r="FB34" s="65"/>
      <c r="FC34" s="65"/>
      <c r="FD34" s="65"/>
      <c r="FE34" s="65"/>
      <c r="FF34" s="65"/>
      <c r="FG34" s="65"/>
      <c r="FH34" s="65"/>
      <c r="FI34" s="65"/>
      <c r="FJ34" s="65"/>
      <c r="FK34" s="65"/>
      <c r="FL34" s="65"/>
      <c r="FM34" s="65"/>
      <c r="FN34" s="65"/>
      <c r="FO34" s="65"/>
      <c r="FP34" s="65"/>
      <c r="FQ34" s="65"/>
      <c r="FR34" s="65"/>
      <c r="FS34" s="65"/>
      <c r="FT34" s="65"/>
      <c r="FU34" s="65"/>
      <c r="FV34" s="65"/>
      <c r="FW34" s="65"/>
      <c r="FX34" s="65"/>
      <c r="FY34" s="65"/>
      <c r="FZ34" s="65"/>
      <c r="GA34" s="65"/>
      <c r="GB34" s="65"/>
      <c r="GC34" s="65"/>
      <c r="GD34" s="65"/>
      <c r="GE34" s="65"/>
      <c r="GF34" s="65"/>
      <c r="GG34" s="65"/>
      <c r="GH34" s="65"/>
      <c r="GI34" s="65"/>
      <c r="GJ34" s="65"/>
      <c r="GK34" s="65"/>
      <c r="GL34" s="65"/>
      <c r="GM34" s="65"/>
      <c r="GN34" s="65"/>
      <c r="GO34" s="65"/>
      <c r="GP34" s="65"/>
      <c r="GQ34" s="65"/>
      <c r="GR34" s="65"/>
      <c r="GS34" s="65"/>
      <c r="GT34" s="65"/>
      <c r="GU34" s="65"/>
      <c r="GV34" s="65"/>
      <c r="GW34" s="65"/>
      <c r="GX34" s="65"/>
      <c r="GY34" s="65"/>
      <c r="GZ34" s="65"/>
      <c r="HA34" s="65"/>
      <c r="HB34" s="65"/>
      <c r="HC34" s="65"/>
      <c r="HD34" s="65"/>
      <c r="HE34" s="65"/>
      <c r="HF34" s="65"/>
      <c r="HG34" s="65"/>
      <c r="HH34" s="65"/>
      <c r="HI34" s="65"/>
      <c r="HJ34" s="65"/>
      <c r="HK34" s="65"/>
      <c r="HL34" s="65"/>
      <c r="HM34" s="65"/>
      <c r="HN34" s="65"/>
      <c r="HO34" s="65"/>
      <c r="HP34" s="65"/>
      <c r="HQ34" s="65"/>
      <c r="HR34" s="65"/>
      <c r="HS34" s="65"/>
      <c r="HT34" s="65"/>
      <c r="HU34" s="65"/>
      <c r="HV34" s="65"/>
      <c r="HW34" s="65"/>
      <c r="HX34" s="65"/>
      <c r="HY34" s="65"/>
      <c r="HZ34" s="65"/>
      <c r="IA34" s="65"/>
      <c r="IB34" s="65"/>
      <c r="IC34" s="65"/>
      <c r="ID34" s="65"/>
      <c r="IE34" s="65"/>
      <c r="IF34" s="65"/>
      <c r="IG34" s="65"/>
      <c r="IH34" s="65"/>
      <c r="II34" s="65"/>
      <c r="IJ34" s="65"/>
      <c r="IK34" s="65"/>
      <c r="IL34" s="65"/>
      <c r="IM34" s="65"/>
      <c r="IN34" s="65"/>
      <c r="IO34" s="65"/>
      <c r="IP34" s="65"/>
      <c r="IQ34" s="65"/>
      <c r="IR34" s="65"/>
      <c r="IS34" s="65"/>
      <c r="IT34" s="65"/>
      <c r="IU34" s="65"/>
      <c r="IV34" s="65"/>
    </row>
    <row r="35" spans="1:256" s="78" customFormat="1" ht="18.5" x14ac:dyDescent="0.45">
      <c r="A35" s="77"/>
      <c r="B35" s="77"/>
      <c r="C35" s="77" t="s">
        <v>11</v>
      </c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>
        <f t="shared" si="0"/>
        <v>10270</v>
      </c>
      <c r="O35" s="77">
        <v>10270</v>
      </c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7"/>
      <c r="BS35" s="77"/>
      <c r="BT35" s="77"/>
      <c r="BU35" s="77"/>
      <c r="BV35" s="77"/>
      <c r="BW35" s="77"/>
      <c r="BX35" s="77"/>
      <c r="BY35" s="77"/>
      <c r="BZ35" s="77"/>
      <c r="CA35" s="77"/>
      <c r="CB35" s="77"/>
      <c r="CC35" s="77"/>
      <c r="CD35" s="77"/>
      <c r="CE35" s="77"/>
      <c r="CF35" s="77"/>
      <c r="CG35" s="77"/>
      <c r="CH35" s="77"/>
      <c r="CI35" s="77"/>
      <c r="CJ35" s="77"/>
      <c r="CK35" s="77"/>
      <c r="CL35" s="77"/>
      <c r="CM35" s="77"/>
      <c r="CN35" s="77"/>
      <c r="CO35" s="77"/>
      <c r="CP35" s="77"/>
      <c r="CQ35" s="77"/>
      <c r="CR35" s="77"/>
      <c r="CS35" s="77"/>
      <c r="CT35" s="77"/>
      <c r="CU35" s="77"/>
      <c r="CV35" s="77"/>
      <c r="CW35" s="77"/>
      <c r="CX35" s="77"/>
      <c r="CY35" s="77"/>
      <c r="CZ35" s="77"/>
      <c r="DA35" s="77"/>
      <c r="DB35" s="77"/>
      <c r="DC35" s="77"/>
      <c r="DD35" s="77"/>
      <c r="DE35" s="77"/>
      <c r="DF35" s="77"/>
      <c r="DG35" s="77"/>
      <c r="DH35" s="77"/>
      <c r="DI35" s="77"/>
      <c r="DJ35" s="77"/>
      <c r="DK35" s="77"/>
      <c r="DL35" s="77"/>
      <c r="DM35" s="77"/>
      <c r="DN35" s="77"/>
      <c r="DO35" s="77"/>
      <c r="DP35" s="77"/>
      <c r="DQ35" s="77"/>
      <c r="DR35" s="77"/>
      <c r="DS35" s="77"/>
      <c r="DT35" s="77"/>
      <c r="DU35" s="77"/>
      <c r="DV35" s="77"/>
      <c r="DW35" s="77"/>
      <c r="DX35" s="77"/>
      <c r="DY35" s="77"/>
      <c r="DZ35" s="77"/>
      <c r="EA35" s="77"/>
      <c r="EB35" s="77"/>
      <c r="EC35" s="77"/>
      <c r="ED35" s="77"/>
      <c r="EE35" s="77"/>
      <c r="EF35" s="77"/>
      <c r="EG35" s="77"/>
      <c r="EH35" s="77"/>
      <c r="EI35" s="77"/>
      <c r="EJ35" s="77"/>
      <c r="EK35" s="77"/>
      <c r="EL35" s="77"/>
      <c r="EM35" s="77"/>
      <c r="EN35" s="77"/>
      <c r="EO35" s="77"/>
      <c r="EP35" s="77"/>
      <c r="EQ35" s="77"/>
      <c r="ER35" s="77"/>
      <c r="ES35" s="77"/>
      <c r="ET35" s="77"/>
      <c r="EU35" s="77"/>
      <c r="EV35" s="77"/>
      <c r="EW35" s="77"/>
      <c r="EX35" s="77"/>
      <c r="EY35" s="77"/>
      <c r="EZ35" s="77"/>
      <c r="FA35" s="77"/>
      <c r="FB35" s="77"/>
      <c r="FC35" s="77"/>
      <c r="FD35" s="77"/>
      <c r="FE35" s="77"/>
      <c r="FF35" s="77"/>
      <c r="FG35" s="77"/>
      <c r="FH35" s="77"/>
      <c r="FI35" s="77"/>
      <c r="FJ35" s="77"/>
      <c r="FK35" s="77"/>
      <c r="FL35" s="77"/>
      <c r="FM35" s="77"/>
      <c r="FN35" s="77"/>
      <c r="FO35" s="77"/>
      <c r="FP35" s="77"/>
      <c r="FQ35" s="77"/>
      <c r="FR35" s="77"/>
      <c r="FS35" s="77"/>
      <c r="FT35" s="77"/>
      <c r="FU35" s="77"/>
      <c r="FV35" s="77"/>
      <c r="FW35" s="77"/>
      <c r="FX35" s="77"/>
      <c r="FY35" s="77"/>
      <c r="FZ35" s="77"/>
      <c r="GA35" s="77"/>
      <c r="GB35" s="77"/>
      <c r="GC35" s="77"/>
      <c r="GD35" s="77"/>
      <c r="GE35" s="77"/>
      <c r="GF35" s="77"/>
      <c r="GG35" s="77"/>
      <c r="GH35" s="77"/>
      <c r="GI35" s="77"/>
      <c r="GJ35" s="77"/>
      <c r="GK35" s="77"/>
      <c r="GL35" s="77"/>
      <c r="GM35" s="77"/>
      <c r="GN35" s="77"/>
      <c r="GO35" s="77"/>
      <c r="GP35" s="77"/>
      <c r="GQ35" s="77"/>
      <c r="GR35" s="77"/>
      <c r="GS35" s="77"/>
      <c r="GT35" s="77"/>
      <c r="GU35" s="77"/>
      <c r="GV35" s="77"/>
      <c r="GW35" s="77"/>
      <c r="GX35" s="77"/>
      <c r="GY35" s="77"/>
      <c r="GZ35" s="77"/>
      <c r="HA35" s="77"/>
      <c r="HB35" s="77"/>
      <c r="HC35" s="77"/>
      <c r="HD35" s="77"/>
      <c r="HE35" s="77"/>
      <c r="HF35" s="77"/>
      <c r="HG35" s="77"/>
      <c r="HH35" s="77"/>
      <c r="HI35" s="77"/>
      <c r="HJ35" s="77"/>
      <c r="HK35" s="77"/>
      <c r="HL35" s="77"/>
      <c r="HM35" s="77"/>
      <c r="HN35" s="77"/>
      <c r="HO35" s="77"/>
      <c r="HP35" s="77"/>
      <c r="HQ35" s="77"/>
      <c r="HR35" s="77"/>
      <c r="HS35" s="77"/>
      <c r="HT35" s="77"/>
      <c r="HU35" s="77"/>
      <c r="HV35" s="77"/>
      <c r="HW35" s="77"/>
      <c r="HX35" s="77"/>
      <c r="HY35" s="77"/>
      <c r="HZ35" s="77"/>
      <c r="IA35" s="77"/>
      <c r="IB35" s="77"/>
      <c r="IC35" s="77"/>
      <c r="ID35" s="77"/>
      <c r="IE35" s="77"/>
      <c r="IF35" s="77"/>
      <c r="IG35" s="77"/>
      <c r="IH35" s="77"/>
      <c r="II35" s="77"/>
      <c r="IJ35" s="77"/>
      <c r="IK35" s="77"/>
      <c r="IL35" s="77"/>
      <c r="IM35" s="77"/>
      <c r="IN35" s="77"/>
      <c r="IO35" s="77"/>
      <c r="IP35" s="77"/>
      <c r="IQ35" s="77"/>
      <c r="IR35" s="77"/>
      <c r="IS35" s="77"/>
      <c r="IT35" s="77"/>
      <c r="IU35" s="77"/>
      <c r="IV35" s="77"/>
    </row>
    <row r="36" spans="1:256" ht="18.5" x14ac:dyDescent="0.45">
      <c r="A36" s="1" t="s">
        <v>44</v>
      </c>
      <c r="B36" s="14" t="s">
        <v>114</v>
      </c>
      <c r="E36" s="1"/>
      <c r="L36" s="40"/>
      <c r="N36" s="1">
        <f t="shared" si="0"/>
        <v>10598</v>
      </c>
      <c r="O36" s="1">
        <v>10598</v>
      </c>
    </row>
    <row r="37" spans="1:256" x14ac:dyDescent="0.35">
      <c r="A37" s="1" t="s">
        <v>45</v>
      </c>
      <c r="B37" s="15"/>
      <c r="E37" s="1"/>
      <c r="N37" s="1">
        <f t="shared" si="0"/>
        <v>8770</v>
      </c>
      <c r="O37" s="1">
        <v>8770</v>
      </c>
    </row>
    <row r="38" spans="1:256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256" x14ac:dyDescent="0.35">
      <c r="A39" s="1" t="s">
        <v>46</v>
      </c>
      <c r="B39" s="15"/>
      <c r="E39" s="1"/>
      <c r="O39" s="1">
        <f>SUM(O3:O38)</f>
        <v>391268</v>
      </c>
      <c r="Q39" s="1">
        <f>SUM(Q3:Q38)</f>
        <v>0</v>
      </c>
    </row>
    <row r="40" spans="1:256" hidden="1" x14ac:dyDescent="0.35">
      <c r="B40" s="15"/>
      <c r="E40" s="1"/>
    </row>
    <row r="41" spans="1:256" x14ac:dyDescent="0.35">
      <c r="A41" s="1" t="s">
        <v>47</v>
      </c>
      <c r="B41" s="15"/>
      <c r="E41" s="1"/>
    </row>
    <row r="42" spans="1:256" x14ac:dyDescent="0.35">
      <c r="A42" s="1" t="s">
        <v>48</v>
      </c>
      <c r="B42" s="15"/>
      <c r="E42" s="1"/>
    </row>
    <row r="43" spans="1:256" x14ac:dyDescent="0.35">
      <c r="A43" s="1" t="s">
        <v>49</v>
      </c>
      <c r="B43" s="4"/>
      <c r="E43" s="1"/>
    </row>
    <row r="44" spans="1:256" x14ac:dyDescent="0.35">
      <c r="B44" s="4"/>
      <c r="E44" s="1"/>
      <c r="I44" s="16"/>
    </row>
    <row r="45" spans="1:256" x14ac:dyDescent="0.35">
      <c r="A45" s="16"/>
      <c r="B45" s="4"/>
      <c r="E45" s="1"/>
      <c r="G45" s="16"/>
      <c r="H45" s="16"/>
    </row>
    <row r="46" spans="1:256" x14ac:dyDescent="0.35">
      <c r="B46" s="4"/>
      <c r="E46" s="1"/>
    </row>
    <row r="47" spans="1:256" ht="32" x14ac:dyDescent="0.7">
      <c r="B47" s="17" t="s">
        <v>133</v>
      </c>
      <c r="C47" s="18"/>
      <c r="D47" s="18"/>
      <c r="E47" s="18"/>
    </row>
    <row r="48" spans="1:256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E49" s="1"/>
      <c r="O49" s="1" t="s">
        <v>74</v>
      </c>
    </row>
    <row r="50" spans="1:15" ht="32" x14ac:dyDescent="0.7">
      <c r="A50" s="1" t="s">
        <v>50</v>
      </c>
      <c r="B50" s="17"/>
      <c r="E50" s="1"/>
      <c r="G50" s="15"/>
      <c r="H50" s="15"/>
    </row>
    <row r="51" spans="1:15" ht="32" x14ac:dyDescent="0.7">
      <c r="A51" s="15"/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  <c r="E52" s="1"/>
    </row>
    <row r="53" spans="1:15" x14ac:dyDescent="0.35">
      <c r="B53" s="15"/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K51"/>
  </mergeCells>
  <pageMargins left="0.7" right="0.7" top="0.75" bottom="0.75" header="0.3" footer="0.3"/>
  <pageSetup paperSize="9" scale="71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IV55"/>
  <sheetViews>
    <sheetView topLeftCell="A32" zoomScale="60" workbookViewId="0">
      <selection activeCell="B48" sqref="B48"/>
    </sheetView>
  </sheetViews>
  <sheetFormatPr defaultColWidth="9" defaultRowHeight="14.5" x14ac:dyDescent="0.35"/>
  <cols>
    <col min="1" max="1" width="9.1796875" style="1" customWidth="1"/>
    <col min="2" max="2" width="23.1796875" style="1" customWidth="1"/>
    <col min="3" max="3" width="2.26953125" style="1" customWidth="1"/>
    <col min="4" max="4" width="31.26953125" style="1" customWidth="1"/>
    <col min="5" max="5" width="13.1796875" style="38" customWidth="1"/>
    <col min="6" max="6" width="12.1796875" style="1" customWidth="1"/>
    <col min="7" max="7" width="9.1796875" style="1" customWidth="1"/>
    <col min="8" max="8" width="9.54296875" style="1" customWidth="1"/>
    <col min="9" max="9" width="14.54296875" style="1" customWidth="1"/>
    <col min="10" max="10" width="0.7265625" style="1" customWidth="1"/>
    <col min="11" max="11" width="9.1796875" style="1" hidden="1" customWidth="1"/>
    <col min="12" max="12" width="27" style="1" customWidth="1"/>
    <col min="13" max="15" width="9.54296875" style="1" customWidth="1"/>
    <col min="16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112</v>
      </c>
      <c r="N2" s="1" t="s">
        <v>71</v>
      </c>
      <c r="O2" s="1" t="s">
        <v>70</v>
      </c>
    </row>
    <row r="3" spans="2:15" x14ac:dyDescent="0.35">
      <c r="B3" s="1" t="str">
        <f>'FROM BOREHOLE'!B3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'FROM BOREHOLE'!H4+21-1</f>
        <v>20242021</v>
      </c>
      <c r="L4" s="1">
        <f>'FROM BOREHOLE'!H4+21-1</f>
        <v>20242021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D6" s="4" t="str">
        <f>meter!A23</f>
        <v>Brian murithi</v>
      </c>
      <c r="N6" s="1">
        <f t="shared" si="0"/>
        <v>11070</v>
      </c>
      <c r="O6" s="1">
        <v>11070</v>
      </c>
    </row>
    <row r="7" spans="2:15" x14ac:dyDescent="0.35">
      <c r="D7" s="22"/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D9" s="22"/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64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meter!D23</f>
        <v>1164</v>
      </c>
      <c r="C16" s="8"/>
      <c r="D16" s="8">
        <f>meter!E23</f>
        <v>1184</v>
      </c>
      <c r="E16" s="38" t="s">
        <v>17</v>
      </c>
      <c r="F16" s="9">
        <f>D16-B16</f>
        <v>20</v>
      </c>
      <c r="N16" s="1">
        <f t="shared" si="0"/>
        <v>9420</v>
      </c>
      <c r="O16" s="1">
        <v>9420</v>
      </c>
    </row>
    <row r="17" spans="2:15" x14ac:dyDescent="0.35">
      <c r="F17" s="1" t="s">
        <v>41</v>
      </c>
      <c r="N17" s="1">
        <f t="shared" si="0"/>
        <v>11154</v>
      </c>
      <c r="O17" s="1">
        <v>11154</v>
      </c>
    </row>
    <row r="18" spans="2:15" x14ac:dyDescent="0.35">
      <c r="D18" s="1" t="s">
        <v>23</v>
      </c>
      <c r="E18" s="38" t="s">
        <v>19</v>
      </c>
      <c r="F18" s="1">
        <f>meter!J23</f>
        <v>0</v>
      </c>
      <c r="H18" s="11"/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16</v>
      </c>
      <c r="F20" s="1">
        <f>meter!H23</f>
        <v>2000</v>
      </c>
      <c r="N20" s="1">
        <f t="shared" si="0"/>
        <v>10590</v>
      </c>
      <c r="O20" s="1">
        <v>10590</v>
      </c>
    </row>
    <row r="21" spans="2:15" x14ac:dyDescent="0.35">
      <c r="L21" s="43"/>
      <c r="M21" s="44"/>
      <c r="N21" s="1">
        <f t="shared" si="0"/>
        <v>22423</v>
      </c>
      <c r="O21" s="44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L23" s="44"/>
      <c r="N23" s="1">
        <f t="shared" si="0"/>
        <v>10162</v>
      </c>
      <c r="O23" s="1">
        <v>10162</v>
      </c>
    </row>
    <row r="24" spans="2:15" x14ac:dyDescent="0.35">
      <c r="F24" s="11"/>
      <c r="L24" s="13"/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/>
      <c r="E27" s="39"/>
      <c r="F27" s="11"/>
      <c r="N27" s="1">
        <f t="shared" si="0"/>
        <v>11393</v>
      </c>
      <c r="O27" s="1">
        <v>11393</v>
      </c>
    </row>
    <row r="28" spans="2:15" x14ac:dyDescent="0.35">
      <c r="F28" s="11"/>
      <c r="N28" s="1">
        <f t="shared" si="0"/>
        <v>10802</v>
      </c>
      <c r="O28" s="1">
        <v>10802</v>
      </c>
    </row>
    <row r="29" spans="2:15" x14ac:dyDescent="0.35">
      <c r="F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D30" s="1" t="s">
        <v>10</v>
      </c>
      <c r="E30" s="1" t="s">
        <v>19</v>
      </c>
      <c r="F30" s="11">
        <f>SUM(F17:F29)</f>
        <v>2000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25</v>
      </c>
      <c r="E32" s="1"/>
      <c r="F32" s="11">
        <f>meter!L23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55</v>
      </c>
      <c r="E34" s="1"/>
      <c r="F34" s="13">
        <f>F30-F32</f>
        <v>2000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11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 t="s">
        <v>114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E40" s="1"/>
    </row>
    <row r="41" spans="1:18" x14ac:dyDescent="0.35">
      <c r="A41" s="1" t="s">
        <v>47</v>
      </c>
      <c r="B41" s="15"/>
      <c r="E41" s="1"/>
    </row>
    <row r="42" spans="1:18" x14ac:dyDescent="0.35">
      <c r="A42" s="1" t="s">
        <v>48</v>
      </c>
      <c r="B42" s="15"/>
      <c r="E42" s="1"/>
    </row>
    <row r="43" spans="1:18" x14ac:dyDescent="0.35">
      <c r="A43" s="1" t="s">
        <v>49</v>
      </c>
      <c r="B43" s="4"/>
      <c r="E43" s="1"/>
    </row>
    <row r="44" spans="1:18" x14ac:dyDescent="0.35">
      <c r="B44" s="4"/>
      <c r="E44" s="1"/>
      <c r="I44" s="41"/>
    </row>
    <row r="45" spans="1:18" x14ac:dyDescent="0.35">
      <c r="A45" s="16"/>
      <c r="B45" s="4"/>
      <c r="E45" s="1"/>
      <c r="G45" s="16"/>
      <c r="H45" s="16"/>
    </row>
    <row r="46" spans="1:18" x14ac:dyDescent="0.35">
      <c r="B46" s="4"/>
      <c r="E46" s="1"/>
    </row>
    <row r="47" spans="1:18" ht="32" x14ac:dyDescent="0.7">
      <c r="B47" s="17" t="s">
        <v>134</v>
      </c>
      <c r="C47" s="18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E49" s="1"/>
      <c r="O49" s="1" t="s">
        <v>74</v>
      </c>
    </row>
    <row r="50" spans="1:15" ht="32" x14ac:dyDescent="0.7">
      <c r="A50" s="1" t="s">
        <v>50</v>
      </c>
      <c r="B50" s="17"/>
      <c r="E50" s="1"/>
      <c r="G50" s="15"/>
      <c r="H50" s="15"/>
    </row>
    <row r="51" spans="1:15" ht="32" x14ac:dyDescent="0.7">
      <c r="A51" s="15"/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  <c r="E52" s="1"/>
    </row>
    <row r="53" spans="1:15" x14ac:dyDescent="0.35">
      <c r="B53" s="15"/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K51"/>
  </mergeCells>
  <pageMargins left="0.7" right="0.7" top="0.75" bottom="0.75" header="0.3" footer="0.3"/>
  <pageSetup paperSize="9" scale="60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IV55"/>
  <sheetViews>
    <sheetView topLeftCell="A17" zoomScale="60" workbookViewId="0">
      <selection activeCell="G49" sqref="G49"/>
    </sheetView>
  </sheetViews>
  <sheetFormatPr defaultColWidth="9" defaultRowHeight="14.5" x14ac:dyDescent="0.35"/>
  <cols>
    <col min="1" max="1" width="5.54296875" style="1" customWidth="1"/>
    <col min="2" max="2" width="17" style="1" customWidth="1"/>
    <col min="3" max="3" width="0.1796875" style="1" customWidth="1"/>
    <col min="4" max="4" width="33.453125" style="1" customWidth="1"/>
    <col min="5" max="5" width="13.1796875" style="38" customWidth="1"/>
    <col min="6" max="6" width="15.1796875" style="1" customWidth="1"/>
    <col min="7" max="8" width="9.1796875" style="1" customWidth="1"/>
    <col min="9" max="9" width="9.26953125" style="1" hidden="1" customWidth="1"/>
    <col min="10" max="10" width="12" style="1" customWidth="1"/>
    <col min="11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112</v>
      </c>
      <c r="N2" s="1" t="s">
        <v>71</v>
      </c>
      <c r="O2" s="1" t="s">
        <v>70</v>
      </c>
    </row>
    <row r="3" spans="2:15" x14ac:dyDescent="0.35">
      <c r="B3" s="1" t="str">
        <f>'FROM BOREHOLE'!B3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'FROM BOREHOLE'!H4+22-1</f>
        <v>20242022</v>
      </c>
      <c r="J4" s="1">
        <f>'FROM BOREHOLE'!H4+22-1</f>
        <v>20242022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D6" s="4" t="str">
        <f>meter!A24</f>
        <v xml:space="preserve"> Daniel   uka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64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ht="29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meter!D24</f>
        <v>820</v>
      </c>
      <c r="C16" s="8"/>
      <c r="D16" s="8">
        <f>meter!E24</f>
        <v>836</v>
      </c>
      <c r="E16" s="38" t="s">
        <v>17</v>
      </c>
      <c r="F16" s="9">
        <f>D16-B16</f>
        <v>16</v>
      </c>
      <c r="N16" s="1">
        <f t="shared" si="0"/>
        <v>9420</v>
      </c>
      <c r="O16" s="1">
        <v>9420</v>
      </c>
    </row>
    <row r="17" spans="2:15" x14ac:dyDescent="0.35">
      <c r="F17" s="1" t="s">
        <v>41</v>
      </c>
      <c r="N17" s="1">
        <f t="shared" si="0"/>
        <v>11154</v>
      </c>
      <c r="O17" s="1">
        <v>11154</v>
      </c>
    </row>
    <row r="18" spans="2:15" x14ac:dyDescent="0.35">
      <c r="D18" s="1" t="s">
        <v>23</v>
      </c>
      <c r="E18" s="38" t="s">
        <v>19</v>
      </c>
      <c r="F18" s="1">
        <f>meter!J24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16</v>
      </c>
      <c r="F20" s="1">
        <f>meter!H24</f>
        <v>1600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F24" s="11"/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/>
      <c r="E27" s="39"/>
      <c r="F27" s="11"/>
      <c r="N27" s="1">
        <f t="shared" si="0"/>
        <v>11393</v>
      </c>
      <c r="O27" s="1">
        <v>11393</v>
      </c>
    </row>
    <row r="28" spans="2:15" x14ac:dyDescent="0.35">
      <c r="F28" s="11"/>
      <c r="N28" s="1">
        <f t="shared" si="0"/>
        <v>10802</v>
      </c>
      <c r="O28" s="1">
        <v>10802</v>
      </c>
    </row>
    <row r="29" spans="2:15" x14ac:dyDescent="0.35">
      <c r="F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D30" s="1" t="s">
        <v>10</v>
      </c>
      <c r="E30" s="1" t="s">
        <v>19</v>
      </c>
      <c r="F30" s="11">
        <f>SUM(F17:F29)</f>
        <v>1600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25</v>
      </c>
      <c r="E32" s="1"/>
      <c r="F32" s="11">
        <f>meter!L24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55</v>
      </c>
      <c r="E34" s="1"/>
      <c r="F34" s="13">
        <f>F30-F32</f>
        <v>1600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11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 t="s">
        <v>114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18" ht="25.5" customHeight="1" x14ac:dyDescent="0.7">
      <c r="A39" s="1" t="s">
        <v>46</v>
      </c>
      <c r="B39" s="92" t="s">
        <v>135</v>
      </c>
      <c r="D39" s="74"/>
      <c r="E39" s="74"/>
      <c r="O39" s="1">
        <f>SUM(O3:O38)</f>
        <v>391268</v>
      </c>
      <c r="Q39" s="1">
        <f>SUM(Q3:Q38)</f>
        <v>0</v>
      </c>
    </row>
    <row r="40" spans="1:18" ht="9" customHeight="1" x14ac:dyDescent="0.35">
      <c r="B40" s="15"/>
      <c r="E40" s="1"/>
    </row>
    <row r="41" spans="1:18" x14ac:dyDescent="0.35">
      <c r="A41" s="1" t="s">
        <v>47</v>
      </c>
      <c r="B41" s="15"/>
      <c r="E41" s="1"/>
    </row>
    <row r="42" spans="1:18" x14ac:dyDescent="0.35">
      <c r="A42" s="1" t="s">
        <v>48</v>
      </c>
      <c r="B42" s="15"/>
      <c r="E42" s="1"/>
    </row>
    <row r="43" spans="1:18" x14ac:dyDescent="0.35">
      <c r="A43" s="1" t="s">
        <v>49</v>
      </c>
      <c r="B43" s="4"/>
      <c r="E43" s="1"/>
    </row>
    <row r="44" spans="1:18" x14ac:dyDescent="0.35">
      <c r="B44" s="4"/>
      <c r="E44" s="1"/>
      <c r="I44" s="41"/>
    </row>
    <row r="45" spans="1:18" x14ac:dyDescent="0.35">
      <c r="A45" s="16"/>
      <c r="B45" s="4"/>
      <c r="E45" s="1"/>
      <c r="G45" s="16"/>
      <c r="H45" s="16"/>
    </row>
    <row r="46" spans="1:18" x14ac:dyDescent="0.35">
      <c r="B46" s="4"/>
      <c r="E46" s="1"/>
    </row>
    <row r="49" spans="1:15" x14ac:dyDescent="0.35">
      <c r="A49" s="15"/>
      <c r="O49" s="1" t="s">
        <v>74</v>
      </c>
    </row>
    <row r="50" spans="1:15" x14ac:dyDescent="0.35">
      <c r="A50" s="1" t="s">
        <v>50</v>
      </c>
    </row>
    <row r="51" spans="1:15" x14ac:dyDescent="0.35">
      <c r="A51" s="15"/>
    </row>
    <row r="52" spans="1:15" x14ac:dyDescent="0.35">
      <c r="A52" s="15"/>
    </row>
    <row r="54" spans="1:15" x14ac:dyDescent="0.35">
      <c r="E54" s="1"/>
    </row>
    <row r="55" spans="1:15" x14ac:dyDescent="0.35">
      <c r="E55" s="1"/>
    </row>
  </sheetData>
  <pageMargins left="0.7" right="0.7" top="0.75" bottom="0.75" header="0.3" footer="0.3"/>
  <pageSetup paperSize="9" scale="72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V55"/>
  <sheetViews>
    <sheetView topLeftCell="A26" zoomScale="60" workbookViewId="0">
      <selection activeCell="H48" sqref="H48"/>
    </sheetView>
  </sheetViews>
  <sheetFormatPr defaultColWidth="9" defaultRowHeight="14.5" x14ac:dyDescent="0.35"/>
  <cols>
    <col min="1" max="1" width="9.1796875" style="1" customWidth="1"/>
    <col min="2" max="2" width="24.54296875" style="1" hidden="1"/>
    <col min="3" max="3" width="9.1796875" style="1" customWidth="1"/>
    <col min="4" max="4" width="32.7265625" style="1" customWidth="1"/>
    <col min="5" max="5" width="14.453125" style="38" customWidth="1"/>
    <col min="6" max="6" width="12" style="1" customWidth="1"/>
    <col min="7" max="7" width="0.1796875" style="1" customWidth="1"/>
    <col min="8" max="8" width="8.81640625" style="1" customWidth="1"/>
    <col min="9" max="9" width="9.26953125" style="1" hidden="1" customWidth="1"/>
    <col min="10" max="10" width="0.26953125" style="1" customWidth="1"/>
    <col min="11" max="11" width="15.54296875" style="1" customWidth="1"/>
    <col min="12" max="12" width="8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1:15" ht="23.5" x14ac:dyDescent="0.55000000000000004">
      <c r="B1" s="2" t="s">
        <v>62</v>
      </c>
    </row>
    <row r="2" spans="1:15" x14ac:dyDescent="0.35">
      <c r="B2" s="1" t="str">
        <f>'FROM BOREHOLE'!B3</f>
        <v>P.O BOX 9473-00200 NAIROBI</v>
      </c>
      <c r="D2" s="4" t="s">
        <v>112</v>
      </c>
      <c r="N2" s="1" t="s">
        <v>71</v>
      </c>
      <c r="O2" s="1" t="s">
        <v>70</v>
      </c>
    </row>
    <row r="3" spans="1:15" ht="18.5" x14ac:dyDescent="0.45">
      <c r="B3" s="3" t="s">
        <v>0</v>
      </c>
      <c r="N3" s="1">
        <f>O3-Q3</f>
        <v>10270</v>
      </c>
      <c r="O3" s="1">
        <v>10270</v>
      </c>
    </row>
    <row r="4" spans="1:15" x14ac:dyDescent="0.35">
      <c r="H4" s="1" t="s">
        <v>6</v>
      </c>
      <c r="I4" s="1">
        <f>'FROM BOREHOLE'!H4+23-1</f>
        <v>20242023</v>
      </c>
      <c r="K4" s="1">
        <f>'FROM BOREHOLE'!H4+23-1</f>
        <v>20242023</v>
      </c>
      <c r="N4" s="1">
        <f t="shared" ref="N4:N35" si="0">O4-Q4</f>
        <v>10304</v>
      </c>
      <c r="O4" s="1">
        <v>10304</v>
      </c>
    </row>
    <row r="5" spans="1:15" x14ac:dyDescent="0.35">
      <c r="N5" s="1">
        <f t="shared" si="0"/>
        <v>10988</v>
      </c>
      <c r="O5" s="1">
        <v>10988</v>
      </c>
    </row>
    <row r="6" spans="1:15" x14ac:dyDescent="0.35">
      <c r="A6" s="1" t="s">
        <v>111</v>
      </c>
      <c r="B6" s="1" t="s">
        <v>7</v>
      </c>
      <c r="D6" s="4" t="str">
        <f>meter!A25</f>
        <v>Danstone amaitsa</v>
      </c>
      <c r="N6" s="1">
        <f t="shared" si="0"/>
        <v>11070</v>
      </c>
      <c r="O6" s="1">
        <v>11070</v>
      </c>
    </row>
    <row r="7" spans="1:15" x14ac:dyDescent="0.35">
      <c r="N7" s="1">
        <f t="shared" si="0"/>
        <v>1197</v>
      </c>
      <c r="O7" s="1">
        <v>1197</v>
      </c>
    </row>
    <row r="8" spans="1:15" x14ac:dyDescent="0.35">
      <c r="B8" s="1" t="s">
        <v>39</v>
      </c>
      <c r="N8" s="1">
        <f t="shared" si="0"/>
        <v>9250</v>
      </c>
      <c r="O8" s="1">
        <v>9250</v>
      </c>
    </row>
    <row r="9" spans="1:15" x14ac:dyDescent="0.35">
      <c r="N9" s="1">
        <f t="shared" si="0"/>
        <v>8770</v>
      </c>
      <c r="O9" s="1">
        <v>8770</v>
      </c>
    </row>
    <row r="10" spans="1:15" x14ac:dyDescent="0.35">
      <c r="A10" s="63" t="s">
        <v>76</v>
      </c>
      <c r="B10" s="1" t="s">
        <v>1</v>
      </c>
      <c r="D10" s="5" t="str">
        <f>'FROM BOREHOLE'!C10</f>
        <v>29TH JAN 2025</v>
      </c>
      <c r="N10" s="1">
        <f t="shared" si="0"/>
        <v>23190</v>
      </c>
      <c r="O10" s="1">
        <v>23190</v>
      </c>
    </row>
    <row r="11" spans="1:15" x14ac:dyDescent="0.35">
      <c r="N11" s="1">
        <f t="shared" si="0"/>
        <v>10910</v>
      </c>
      <c r="O11" s="1">
        <v>10910</v>
      </c>
    </row>
    <row r="12" spans="1:15" x14ac:dyDescent="0.35">
      <c r="A12" s="63" t="s">
        <v>75</v>
      </c>
      <c r="B12" s="1" t="s">
        <v>2</v>
      </c>
      <c r="D12" s="5" t="str">
        <f>'FROM BOREHOLE'!C12</f>
        <v>5TH FEB 2026</v>
      </c>
      <c r="N12" s="1">
        <f t="shared" si="0"/>
        <v>10910</v>
      </c>
      <c r="O12" s="1">
        <v>10910</v>
      </c>
    </row>
    <row r="13" spans="1:15" x14ac:dyDescent="0.35">
      <c r="C13" s="1" t="s">
        <v>31</v>
      </c>
      <c r="N13" s="1">
        <f t="shared" si="0"/>
        <v>12190</v>
      </c>
      <c r="O13" s="1">
        <v>12190</v>
      </c>
    </row>
    <row r="14" spans="1:15" x14ac:dyDescent="0.35">
      <c r="N14" s="1">
        <f t="shared" si="0"/>
        <v>11070</v>
      </c>
      <c r="O14" s="1">
        <v>11070</v>
      </c>
    </row>
    <row r="15" spans="1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1:15" x14ac:dyDescent="0.35">
      <c r="B16" s="8">
        <f>meter!D25</f>
        <v>724</v>
      </c>
      <c r="C16" s="8"/>
      <c r="D16" s="8">
        <f>meter!E25</f>
        <v>796</v>
      </c>
      <c r="E16" s="38" t="s">
        <v>17</v>
      </c>
      <c r="F16" s="9">
        <f>D16-B16</f>
        <v>72</v>
      </c>
      <c r="N16" s="1">
        <f t="shared" si="0"/>
        <v>9420</v>
      </c>
      <c r="O16" s="1">
        <v>9420</v>
      </c>
    </row>
    <row r="17" spans="2:15" x14ac:dyDescent="0.35">
      <c r="F17" s="1" t="s">
        <v>41</v>
      </c>
      <c r="N17" s="1">
        <f t="shared" si="0"/>
        <v>11154</v>
      </c>
      <c r="O17" s="1">
        <v>11154</v>
      </c>
    </row>
    <row r="18" spans="2:15" x14ac:dyDescent="0.35">
      <c r="D18" s="1" t="s">
        <v>23</v>
      </c>
      <c r="E18" s="38" t="s">
        <v>19</v>
      </c>
      <c r="F18" s="1">
        <f>meter!J25</f>
        <v>3400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F20" s="1">
        <f>meter!H25</f>
        <v>7200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F24" s="11"/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/>
      <c r="E27" s="39"/>
      <c r="F27" s="11"/>
      <c r="K27" s="63" t="s">
        <v>31</v>
      </c>
      <c r="N27" s="1">
        <f t="shared" si="0"/>
        <v>11393</v>
      </c>
      <c r="O27" s="1">
        <v>11393</v>
      </c>
    </row>
    <row r="28" spans="2:15" x14ac:dyDescent="0.35">
      <c r="F28" s="11"/>
      <c r="N28" s="1">
        <f t="shared" si="0"/>
        <v>10802</v>
      </c>
      <c r="O28" s="1">
        <v>10802</v>
      </c>
    </row>
    <row r="29" spans="2:15" x14ac:dyDescent="0.35">
      <c r="F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D30" s="1" t="s">
        <v>10</v>
      </c>
      <c r="E30" s="1" t="s">
        <v>19</v>
      </c>
      <c r="F30" s="11">
        <f>SUM(F17:F29)</f>
        <v>10600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25</v>
      </c>
      <c r="E32" s="1"/>
      <c r="F32" s="11">
        <f>meter!L25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55</v>
      </c>
      <c r="E34" s="1"/>
      <c r="F34" s="13">
        <f>F30-F32</f>
        <v>10600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11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5" t="s">
        <v>36</v>
      </c>
      <c r="C36" s="14" t="s">
        <v>114</v>
      </c>
      <c r="E36" s="1"/>
      <c r="L36" s="40"/>
      <c r="O36" s="1">
        <v>10598</v>
      </c>
    </row>
    <row r="37" spans="1:18" x14ac:dyDescent="0.35">
      <c r="A37" s="1" t="s">
        <v>45</v>
      </c>
      <c r="B37" s="15" t="s">
        <v>63</v>
      </c>
      <c r="C37" s="15"/>
      <c r="E37" s="1"/>
      <c r="O37" s="1">
        <v>8770</v>
      </c>
    </row>
    <row r="38" spans="1:18" x14ac:dyDescent="0.35">
      <c r="B38" s="15"/>
      <c r="C38" s="15"/>
      <c r="E38" s="1"/>
      <c r="O38" s="1">
        <v>8770</v>
      </c>
    </row>
    <row r="39" spans="1:18" x14ac:dyDescent="0.35">
      <c r="A39" s="1" t="s">
        <v>46</v>
      </c>
      <c r="B39" s="15" t="s">
        <v>37</v>
      </c>
      <c r="C39" s="15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C40" s="15"/>
      <c r="E40" s="1"/>
    </row>
    <row r="41" spans="1:18" x14ac:dyDescent="0.35">
      <c r="A41" s="1" t="s">
        <v>47</v>
      </c>
      <c r="B41" s="15" t="s">
        <v>35</v>
      </c>
      <c r="C41" s="15"/>
      <c r="E41" s="1"/>
    </row>
    <row r="42" spans="1:18" x14ac:dyDescent="0.35">
      <c r="A42" s="1" t="s">
        <v>48</v>
      </c>
      <c r="B42" s="15" t="s">
        <v>51</v>
      </c>
      <c r="C42" s="15"/>
      <c r="E42" s="1"/>
    </row>
    <row r="43" spans="1:18" x14ac:dyDescent="0.35">
      <c r="A43" s="1" t="s">
        <v>49</v>
      </c>
      <c r="B43" s="4" t="s">
        <v>60</v>
      </c>
      <c r="C43" s="4"/>
      <c r="E43" s="1"/>
    </row>
    <row r="44" spans="1:18" x14ac:dyDescent="0.35">
      <c r="B44" s="4" t="s">
        <v>34</v>
      </c>
      <c r="C44" s="4"/>
      <c r="E44" s="1"/>
      <c r="J44" s="41"/>
    </row>
    <row r="45" spans="1:18" x14ac:dyDescent="0.35">
      <c r="A45" s="16"/>
      <c r="B45" s="4" t="s">
        <v>13</v>
      </c>
      <c r="C45" s="4"/>
      <c r="E45" s="1"/>
      <c r="H45" s="16"/>
      <c r="I45" s="16"/>
    </row>
    <row r="46" spans="1:18" x14ac:dyDescent="0.35">
      <c r="B46" s="4" t="s">
        <v>14</v>
      </c>
      <c r="C46" s="4"/>
      <c r="E46" s="1"/>
    </row>
    <row r="47" spans="1:18" ht="32" x14ac:dyDescent="0.7">
      <c r="B47" s="4" t="s">
        <v>33</v>
      </c>
      <c r="C47" s="17" t="s">
        <v>136</v>
      </c>
      <c r="D47" s="18"/>
      <c r="E47" s="18"/>
      <c r="F47" s="18"/>
    </row>
    <row r="48" spans="1:18" x14ac:dyDescent="0.35">
      <c r="B48" s="16" t="s">
        <v>38</v>
      </c>
      <c r="C48" s="16"/>
      <c r="D48" s="16"/>
      <c r="E48" s="16"/>
      <c r="F48" s="16"/>
      <c r="G48" s="16"/>
    </row>
    <row r="49" spans="1:15" x14ac:dyDescent="0.35">
      <c r="A49" s="15"/>
      <c r="B49" s="16" t="s">
        <v>12</v>
      </c>
      <c r="C49" s="16"/>
      <c r="E49" s="1"/>
      <c r="O49" s="1" t="s">
        <v>74</v>
      </c>
    </row>
    <row r="50" spans="1:15" ht="32" x14ac:dyDescent="0.7">
      <c r="A50" s="1" t="s">
        <v>50</v>
      </c>
      <c r="B50" s="4" t="s">
        <v>72</v>
      </c>
      <c r="C50" s="17"/>
      <c r="E50" s="1"/>
      <c r="H50" s="15"/>
      <c r="I50" s="15"/>
    </row>
    <row r="51" spans="1:15" ht="32" x14ac:dyDescent="0.7">
      <c r="A51" s="15"/>
      <c r="B51" s="15" t="s">
        <v>22</v>
      </c>
      <c r="C51" s="96"/>
      <c r="D51" s="94"/>
      <c r="E51" s="94"/>
      <c r="F51" s="94"/>
      <c r="G51" s="94"/>
      <c r="H51" s="94"/>
      <c r="I51" s="94"/>
      <c r="J51" s="94"/>
      <c r="K51" s="94"/>
      <c r="L51" s="95"/>
    </row>
    <row r="52" spans="1:15" x14ac:dyDescent="0.35">
      <c r="A52" s="15"/>
      <c r="B52" s="15" t="s">
        <v>15</v>
      </c>
      <c r="C52" s="15"/>
      <c r="D52" s="4"/>
      <c r="E52" s="1"/>
    </row>
    <row r="53" spans="1:15" x14ac:dyDescent="0.35">
      <c r="C53" s="15"/>
      <c r="D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C51:L51"/>
  </mergeCells>
  <pageMargins left="0.7" right="0.7" top="0.75" bottom="0.75" header="0.3" footer="0.3"/>
  <pageSetup paperSize="9" scale="68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V55"/>
  <sheetViews>
    <sheetView topLeftCell="A33" zoomScale="60" workbookViewId="0">
      <selection activeCell="C47" sqref="C47"/>
    </sheetView>
  </sheetViews>
  <sheetFormatPr defaultColWidth="9" defaultRowHeight="14.5" x14ac:dyDescent="0.35"/>
  <cols>
    <col min="1" max="1" width="9.1796875" style="1" customWidth="1"/>
    <col min="2" max="2" width="17.54296875" style="1" customWidth="1"/>
    <col min="3" max="3" width="9.1796875" style="1" customWidth="1"/>
    <col min="4" max="4" width="19.81640625" style="1" customWidth="1"/>
    <col min="5" max="5" width="13.1796875" style="38" customWidth="1"/>
    <col min="6" max="6" width="15.54296875" style="1" customWidth="1"/>
    <col min="7" max="8" width="9.1796875" style="1" customWidth="1"/>
    <col min="9" max="9" width="12.7265625" style="1" customWidth="1"/>
    <col min="10" max="10" width="9.1796875" style="1" customWidth="1"/>
    <col min="11" max="11" width="8.7265625" style="1" customWidth="1"/>
    <col min="12" max="12" width="27" style="1" customWidth="1"/>
    <col min="13" max="15" width="9.1796875" style="1" customWidth="1"/>
    <col min="16" max="16" width="0.1796875" style="1" customWidth="1"/>
    <col min="17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112</v>
      </c>
    </row>
    <row r="2" spans="2:15" x14ac:dyDescent="0.35">
      <c r="B2" s="1" t="str">
        <f>'FROM BOREHOLE'!B3</f>
        <v>P.O BOX 9473-00200 NAIROBI</v>
      </c>
      <c r="N2" s="1" t="s">
        <v>71</v>
      </c>
      <c r="O2" s="1" t="s">
        <v>70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'FROM BOREHOLE'!H4+24-1</f>
        <v>20242024</v>
      </c>
      <c r="M4" s="1">
        <f>'FROM BOREHOLE'!H4+24-1</f>
        <v>20242024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D6" s="4" t="str">
        <f>meter!A26</f>
        <v>Eric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64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meter!D26</f>
        <v>155</v>
      </c>
      <c r="C16" s="8"/>
      <c r="D16" s="8">
        <f>meter!E26</f>
        <v>159</v>
      </c>
      <c r="E16" s="38" t="s">
        <v>17</v>
      </c>
      <c r="F16" s="9">
        <f>D16-B16</f>
        <v>4</v>
      </c>
      <c r="N16" s="1">
        <f t="shared" si="0"/>
        <v>9420</v>
      </c>
      <c r="O16" s="1">
        <v>9420</v>
      </c>
    </row>
    <row r="17" spans="2:15" x14ac:dyDescent="0.35">
      <c r="F17" s="1" t="s">
        <v>41</v>
      </c>
      <c r="N17" s="1">
        <f t="shared" si="0"/>
        <v>11154</v>
      </c>
      <c r="O17" s="1">
        <v>11154</v>
      </c>
    </row>
    <row r="18" spans="2:15" x14ac:dyDescent="0.35">
      <c r="D18" s="1" t="s">
        <v>23</v>
      </c>
      <c r="E18" s="38" t="s">
        <v>19</v>
      </c>
      <c r="F18" s="11">
        <f>meter!J26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16</v>
      </c>
      <c r="F20" s="1">
        <f>meter!H26</f>
        <v>400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F24" s="11"/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/>
      <c r="E27" s="39"/>
      <c r="F27" s="11"/>
      <c r="N27" s="1">
        <f t="shared" si="0"/>
        <v>11393</v>
      </c>
      <c r="O27" s="1">
        <v>11393</v>
      </c>
    </row>
    <row r="28" spans="2:15" x14ac:dyDescent="0.35">
      <c r="E28" s="1"/>
      <c r="F28" s="11"/>
      <c r="N28" s="1">
        <f t="shared" si="0"/>
        <v>10802</v>
      </c>
      <c r="O28" s="1">
        <v>10802</v>
      </c>
    </row>
    <row r="29" spans="2:15" x14ac:dyDescent="0.35">
      <c r="F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D30" s="1" t="s">
        <v>10</v>
      </c>
      <c r="E30" s="1" t="s">
        <v>19</v>
      </c>
      <c r="F30" s="11">
        <f>SUM(F17:F29)</f>
        <v>400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25</v>
      </c>
      <c r="E32" s="1"/>
      <c r="F32" s="11">
        <f>meter!L26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55</v>
      </c>
      <c r="E34" s="1"/>
      <c r="F34" s="13">
        <f>F30-F32</f>
        <v>400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11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 t="s">
        <v>114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E40" s="1"/>
    </row>
    <row r="41" spans="1:18" x14ac:dyDescent="0.35">
      <c r="A41" s="1" t="s">
        <v>47</v>
      </c>
      <c r="B41" s="15"/>
      <c r="E41" s="1"/>
    </row>
    <row r="42" spans="1:18" x14ac:dyDescent="0.35">
      <c r="A42" s="1" t="s">
        <v>48</v>
      </c>
      <c r="B42" s="15"/>
      <c r="E42" s="1"/>
    </row>
    <row r="43" spans="1:18" x14ac:dyDescent="0.35">
      <c r="A43" s="1" t="s">
        <v>49</v>
      </c>
      <c r="B43" s="4"/>
      <c r="E43" s="1"/>
    </row>
    <row r="44" spans="1:18" x14ac:dyDescent="0.35">
      <c r="B44" s="4"/>
      <c r="E44" s="1"/>
      <c r="I44" s="41"/>
      <c r="J44" s="42"/>
    </row>
    <row r="45" spans="1:18" x14ac:dyDescent="0.35">
      <c r="A45" s="16"/>
      <c r="B45" s="4"/>
      <c r="E45" s="1"/>
      <c r="G45" s="16"/>
      <c r="H45" s="16"/>
    </row>
    <row r="46" spans="1:18" x14ac:dyDescent="0.35">
      <c r="B46" s="4"/>
      <c r="E46" s="1"/>
    </row>
    <row r="47" spans="1:18" ht="32" x14ac:dyDescent="0.7">
      <c r="B47" s="17" t="s">
        <v>137</v>
      </c>
      <c r="C47" s="18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E49" s="1"/>
      <c r="O49" s="1" t="s">
        <v>74</v>
      </c>
    </row>
    <row r="50" spans="1:15" ht="32" x14ac:dyDescent="0.7">
      <c r="A50" s="1" t="s">
        <v>50</v>
      </c>
      <c r="B50" s="17"/>
      <c r="E50" s="1"/>
      <c r="G50" s="15"/>
      <c r="H50" s="15"/>
    </row>
    <row r="51" spans="1:15" ht="32" x14ac:dyDescent="0.7">
      <c r="A51" s="15"/>
      <c r="B51" s="96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  <c r="E52" s="1"/>
    </row>
    <row r="53" spans="1:15" x14ac:dyDescent="0.35">
      <c r="B53" s="15"/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K51"/>
  </mergeCells>
  <pageMargins left="0.7" right="0.7" top="0.75" bottom="0.75" header="0.3" footer="0.3"/>
  <pageSetup paperSize="9" scale="75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V55"/>
  <sheetViews>
    <sheetView topLeftCell="A20" zoomScale="60" workbookViewId="0">
      <selection activeCell="D52" sqref="D52"/>
    </sheetView>
  </sheetViews>
  <sheetFormatPr defaultColWidth="9" defaultRowHeight="14.5" x14ac:dyDescent="0.35"/>
  <cols>
    <col min="1" max="1" width="9.1796875" style="1" customWidth="1"/>
    <col min="2" max="2" width="24" style="1" customWidth="1"/>
    <col min="3" max="3" width="0.54296875" style="1" customWidth="1"/>
    <col min="4" max="4" width="29.54296875" style="1" customWidth="1"/>
    <col min="5" max="5" width="13.1796875" style="38" customWidth="1"/>
    <col min="6" max="6" width="15.54296875" style="1" customWidth="1"/>
    <col min="7" max="7" width="0.81640625" style="1" customWidth="1"/>
    <col min="8" max="8" width="9.1796875" style="1" customWidth="1"/>
    <col min="9" max="9" width="13.54296875" style="1" customWidth="1"/>
    <col min="10" max="10" width="0.1796875" style="1" customWidth="1"/>
    <col min="11" max="11" width="9.1796875" style="1" customWidth="1"/>
    <col min="12" max="12" width="0.1796875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112</v>
      </c>
    </row>
    <row r="2" spans="2:15" x14ac:dyDescent="0.35">
      <c r="B2" s="1" t="str">
        <f>'FROM BOREHOLE'!B3</f>
        <v>P.O BOX 9473-00200 NAIROBI</v>
      </c>
      <c r="N2" s="1" t="s">
        <v>71</v>
      </c>
      <c r="O2" s="1" t="s">
        <v>70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'FROM BOREHOLE'!H4+25-1</f>
        <v>20242025</v>
      </c>
      <c r="K4" s="1">
        <f>'FROM BOREHOLE'!H4+25-1</f>
        <v>20242025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D6" s="4" t="str">
        <f>meter!A27</f>
        <v>Pamela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meter!D27</f>
        <v>217</v>
      </c>
      <c r="C16" s="8">
        <v>643</v>
      </c>
      <c r="D16" s="8">
        <f>meter!E27</f>
        <v>223</v>
      </c>
      <c r="E16" s="38" t="s">
        <v>17</v>
      </c>
      <c r="F16" s="9">
        <f>D16-B16</f>
        <v>6</v>
      </c>
      <c r="N16" s="1">
        <f t="shared" si="0"/>
        <v>9420</v>
      </c>
      <c r="O16" s="1">
        <v>9420</v>
      </c>
    </row>
    <row r="17" spans="2:15" x14ac:dyDescent="0.35">
      <c r="F17" s="1" t="s">
        <v>41</v>
      </c>
      <c r="N17" s="1">
        <f t="shared" si="0"/>
        <v>11154</v>
      </c>
      <c r="O17" s="1">
        <v>11154</v>
      </c>
    </row>
    <row r="18" spans="2:15" x14ac:dyDescent="0.35">
      <c r="D18" s="1" t="s">
        <v>23</v>
      </c>
      <c r="E18" s="38" t="s">
        <v>19</v>
      </c>
      <c r="F18" s="1">
        <f>meter!J27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38" t="s">
        <v>16</v>
      </c>
      <c r="F20" s="1">
        <f>meter!H27</f>
        <v>600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F24" s="11"/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/>
      <c r="E27" s="39"/>
      <c r="F27" s="11"/>
      <c r="N27" s="1">
        <f t="shared" si="0"/>
        <v>11393</v>
      </c>
      <c r="O27" s="1">
        <v>11393</v>
      </c>
    </row>
    <row r="28" spans="2:15" x14ac:dyDescent="0.35">
      <c r="F28" s="11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D30" s="1" t="s">
        <v>10</v>
      </c>
      <c r="E30" s="1" t="s">
        <v>19</v>
      </c>
      <c r="F30" s="11">
        <f>SUM(F17:F29)</f>
        <v>600</v>
      </c>
      <c r="H30" s="13"/>
      <c r="N30" s="1">
        <f t="shared" si="0"/>
        <v>9570</v>
      </c>
      <c r="O30" s="1">
        <v>9570</v>
      </c>
    </row>
    <row r="31" spans="2:15" x14ac:dyDescent="0.35">
      <c r="E31" s="1"/>
      <c r="F31" s="11"/>
      <c r="N31" s="1">
        <f t="shared" si="0"/>
        <v>11390</v>
      </c>
      <c r="O31" s="1">
        <v>11390</v>
      </c>
    </row>
    <row r="32" spans="2:15" x14ac:dyDescent="0.35">
      <c r="D32" s="1" t="s">
        <v>25</v>
      </c>
      <c r="E32" s="1"/>
      <c r="F32" s="11">
        <f>meter!L27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1"/>
      <c r="N33" s="1">
        <f t="shared" si="0"/>
        <v>11732</v>
      </c>
      <c r="O33" s="1">
        <v>11732</v>
      </c>
    </row>
    <row r="34" spans="1:18" x14ac:dyDescent="0.35">
      <c r="D34" s="1" t="s">
        <v>55</v>
      </c>
      <c r="E34" s="1"/>
      <c r="F34" s="13">
        <f>F30-F32</f>
        <v>600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11</v>
      </c>
      <c r="E35" s="1"/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 t="s">
        <v>114</v>
      </c>
      <c r="E36" s="1"/>
      <c r="L36" s="40"/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E37" s="1"/>
      <c r="N37" s="1">
        <f t="shared" si="0"/>
        <v>8770</v>
      </c>
      <c r="O37" s="1">
        <v>8770</v>
      </c>
    </row>
    <row r="38" spans="1:18" x14ac:dyDescent="0.35">
      <c r="B38" s="15"/>
      <c r="E38" s="1"/>
      <c r="K38" s="40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5"/>
      <c r="E40" s="1"/>
    </row>
    <row r="41" spans="1:18" x14ac:dyDescent="0.35">
      <c r="A41" s="1" t="s">
        <v>47</v>
      </c>
      <c r="B41" s="15"/>
      <c r="E41" s="1"/>
    </row>
    <row r="42" spans="1:18" x14ac:dyDescent="0.35">
      <c r="A42" s="1" t="s">
        <v>48</v>
      </c>
      <c r="B42" s="15"/>
      <c r="E42" s="1"/>
    </row>
    <row r="43" spans="1:18" x14ac:dyDescent="0.35">
      <c r="A43" s="1" t="s">
        <v>49</v>
      </c>
      <c r="B43" s="4"/>
      <c r="E43" s="1"/>
    </row>
    <row r="44" spans="1:18" x14ac:dyDescent="0.35">
      <c r="B44" s="4"/>
      <c r="E44" s="1"/>
      <c r="I44" s="41"/>
    </row>
    <row r="45" spans="1:18" x14ac:dyDescent="0.35">
      <c r="A45" s="16"/>
      <c r="B45" s="4"/>
      <c r="E45" s="1"/>
      <c r="G45" s="16"/>
      <c r="H45" s="16"/>
    </row>
    <row r="46" spans="1:18" x14ac:dyDescent="0.35">
      <c r="B46" s="4"/>
      <c r="E46" s="1"/>
    </row>
    <row r="47" spans="1:18" ht="32" x14ac:dyDescent="0.7">
      <c r="B47" s="17" t="s">
        <v>138</v>
      </c>
      <c r="C47" s="18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E49" s="1"/>
      <c r="O49" s="1" t="s">
        <v>74</v>
      </c>
    </row>
    <row r="50" spans="1:15" ht="32" x14ac:dyDescent="0.7">
      <c r="A50" s="1" t="s">
        <v>50</v>
      </c>
      <c r="B50" s="17"/>
      <c r="E50" s="1"/>
      <c r="G50" s="15"/>
      <c r="H50" s="15"/>
    </row>
    <row r="51" spans="1:15" ht="32" x14ac:dyDescent="0.7">
      <c r="A51" s="15"/>
      <c r="B51" s="96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  <c r="E52" s="1"/>
    </row>
    <row r="53" spans="1:15" x14ac:dyDescent="0.35">
      <c r="B53" s="15"/>
      <c r="C53" s="15"/>
      <c r="E53" s="1"/>
    </row>
    <row r="54" spans="1:15" x14ac:dyDescent="0.35">
      <c r="E54" s="1"/>
    </row>
    <row r="55" spans="1:15" x14ac:dyDescent="0.35">
      <c r="E55" s="1"/>
    </row>
  </sheetData>
  <mergeCells count="1">
    <mergeCell ref="B51:K51"/>
  </mergeCells>
  <pageMargins left="0.7" right="0.7" top="0.75" bottom="0.75" header="0.3" footer="0.3"/>
  <pageSetup paperSize="9" scale="75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V53"/>
  <sheetViews>
    <sheetView tabSelected="1" topLeftCell="A30" zoomScale="60" workbookViewId="0">
      <selection activeCell="B48" sqref="B48"/>
    </sheetView>
  </sheetViews>
  <sheetFormatPr defaultColWidth="9" defaultRowHeight="14.5" x14ac:dyDescent="0.35"/>
  <cols>
    <col min="1" max="1" width="9.1796875" style="1" customWidth="1"/>
    <col min="2" max="2" width="14" style="1" customWidth="1"/>
    <col min="3" max="3" width="0.1796875" style="1" customWidth="1"/>
    <col min="4" max="4" width="25.54296875" style="1" customWidth="1"/>
    <col min="5" max="5" width="13.1796875" style="1" customWidth="1"/>
    <col min="6" max="6" width="14.7265625" style="1" customWidth="1"/>
    <col min="7" max="8" width="9.1796875" style="1" customWidth="1"/>
    <col min="9" max="9" width="9.26953125" style="1" hidden="1" customWidth="1"/>
    <col min="10" max="10" width="13.453125" style="1" customWidth="1"/>
    <col min="11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119</v>
      </c>
    </row>
    <row r="2" spans="2:15" x14ac:dyDescent="0.35">
      <c r="B2" s="1" t="str">
        <f>'FROM BOREHOLE'!B3</f>
        <v>P.O BOX 9473-00200 NAIROBI</v>
      </c>
      <c r="N2" s="1" t="s">
        <v>71</v>
      </c>
      <c r="O2" s="1" t="s">
        <v>70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'FROM BOREHOLE'!H4+30-1</f>
        <v>20242030</v>
      </c>
      <c r="J4" s="1">
        <f>'FROM BOREHOLE'!H4+30-1</f>
        <v>20242030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D6" s="4" t="s">
        <v>120</v>
      </c>
      <c r="N6" s="1">
        <f t="shared" si="0"/>
        <v>11070</v>
      </c>
      <c r="O6" s="1">
        <v>11070</v>
      </c>
    </row>
    <row r="7" spans="2:15" x14ac:dyDescent="0.35">
      <c r="D7" s="4"/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23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ht="29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meter!D28</f>
        <v>302</v>
      </c>
      <c r="C16" s="8"/>
      <c r="D16" s="8">
        <f>meter!E28</f>
        <v>0</v>
      </c>
      <c r="E16" s="8" t="s">
        <v>17</v>
      </c>
      <c r="F16" s="9">
        <f>D16-B16</f>
        <v>-302</v>
      </c>
      <c r="N16" s="1">
        <f t="shared" si="0"/>
        <v>9420</v>
      </c>
      <c r="O16" s="1">
        <v>9420</v>
      </c>
    </row>
    <row r="17" spans="2:15" x14ac:dyDescent="0.35">
      <c r="F17" s="1" t="s">
        <v>41</v>
      </c>
      <c r="N17" s="1">
        <f t="shared" si="0"/>
        <v>11154</v>
      </c>
      <c r="O17" s="1">
        <v>11154</v>
      </c>
    </row>
    <row r="18" spans="2:15" x14ac:dyDescent="0.35">
      <c r="D18" s="1" t="s">
        <v>23</v>
      </c>
      <c r="E18" s="1" t="s">
        <v>19</v>
      </c>
      <c r="F18" s="1">
        <f>meter!J28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1" t="s">
        <v>16</v>
      </c>
      <c r="F20" s="1">
        <f>meter!H28</f>
        <v>-30200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F24" s="11"/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/>
      <c r="E27" s="12"/>
      <c r="F27" s="11"/>
      <c r="N27" s="1">
        <f t="shared" si="0"/>
        <v>11393</v>
      </c>
      <c r="O27" s="1">
        <v>11393</v>
      </c>
    </row>
    <row r="28" spans="2:15" x14ac:dyDescent="0.35">
      <c r="F28" s="11"/>
      <c r="N28" s="1">
        <f t="shared" si="0"/>
        <v>10802</v>
      </c>
      <c r="O28" s="1">
        <v>10802</v>
      </c>
    </row>
    <row r="29" spans="2:15" x14ac:dyDescent="0.35">
      <c r="F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D30" s="1" t="s">
        <v>10</v>
      </c>
      <c r="E30" s="1" t="s">
        <v>19</v>
      </c>
      <c r="F30" s="11">
        <f>SUM(F17:F29)</f>
        <v>-30200</v>
      </c>
      <c r="H30" s="13"/>
      <c r="N30" s="1">
        <f t="shared" si="0"/>
        <v>9570</v>
      </c>
      <c r="O30" s="1">
        <v>9570</v>
      </c>
    </row>
    <row r="31" spans="2:15" x14ac:dyDescent="0.35">
      <c r="F31" s="11"/>
      <c r="N31" s="1">
        <f t="shared" si="0"/>
        <v>11390</v>
      </c>
      <c r="O31" s="1">
        <v>11390</v>
      </c>
    </row>
    <row r="32" spans="2:15" x14ac:dyDescent="0.35">
      <c r="D32" s="1" t="s">
        <v>25</v>
      </c>
      <c r="F32" s="11">
        <f>meter!L32</f>
        <v>0</v>
      </c>
      <c r="N32" s="1">
        <f t="shared" si="0"/>
        <v>10750</v>
      </c>
      <c r="O32" s="1">
        <v>10750</v>
      </c>
    </row>
    <row r="33" spans="1:18" x14ac:dyDescent="0.35">
      <c r="F33" s="11"/>
      <c r="N33" s="1">
        <f t="shared" si="0"/>
        <v>11732</v>
      </c>
      <c r="O33" s="1">
        <v>11732</v>
      </c>
    </row>
    <row r="34" spans="1:18" x14ac:dyDescent="0.35">
      <c r="D34" s="1" t="s">
        <v>55</v>
      </c>
      <c r="F34" s="13">
        <f>F30-F32</f>
        <v>-30200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11</v>
      </c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/>
      <c r="D36" s="4" t="s">
        <v>114</v>
      </c>
      <c r="L36" s="40"/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N37" s="1">
        <f t="shared" si="0"/>
        <v>8770</v>
      </c>
      <c r="O37" s="1">
        <v>8770</v>
      </c>
    </row>
    <row r="38" spans="1:18" x14ac:dyDescent="0.35">
      <c r="B38" s="15"/>
      <c r="K38" s="40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47</v>
      </c>
      <c r="B41" s="15"/>
    </row>
    <row r="42" spans="1:18" x14ac:dyDescent="0.35">
      <c r="A42" s="1" t="s">
        <v>48</v>
      </c>
      <c r="B42" s="15"/>
    </row>
    <row r="43" spans="1:18" x14ac:dyDescent="0.35">
      <c r="A43" s="1" t="s">
        <v>49</v>
      </c>
      <c r="B43" s="4"/>
    </row>
    <row r="44" spans="1:18" x14ac:dyDescent="0.35">
      <c r="B44" s="4"/>
      <c r="I44" s="41"/>
    </row>
    <row r="45" spans="1:18" x14ac:dyDescent="0.35">
      <c r="A45" s="16"/>
      <c r="B45" s="4"/>
      <c r="G45" s="16"/>
      <c r="H45" s="16"/>
    </row>
    <row r="46" spans="1:18" x14ac:dyDescent="0.35">
      <c r="B46" s="4"/>
    </row>
    <row r="47" spans="1:18" ht="32" x14ac:dyDescent="0.7">
      <c r="B47" s="17" t="s">
        <v>139</v>
      </c>
      <c r="C47" s="18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O49" s="1" t="s">
        <v>74</v>
      </c>
    </row>
    <row r="50" spans="1:15" ht="32" x14ac:dyDescent="0.7">
      <c r="A50" s="1" t="s">
        <v>50</v>
      </c>
      <c r="B50" s="17"/>
      <c r="G50" s="15"/>
      <c r="H50" s="15"/>
    </row>
    <row r="51" spans="1:15" ht="32" x14ac:dyDescent="0.7">
      <c r="A51" s="15"/>
      <c r="B51" s="93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</row>
    <row r="53" spans="1:15" x14ac:dyDescent="0.35">
      <c r="B53" s="15"/>
      <c r="C53" s="15"/>
    </row>
  </sheetData>
  <mergeCells count="1">
    <mergeCell ref="B51:K51"/>
  </mergeCells>
  <pageMargins left="0.7" right="0.7" top="0.75" bottom="0.75" header="0.3" footer="0.3"/>
  <pageSetup paperSize="9" scale="74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V53"/>
  <sheetViews>
    <sheetView topLeftCell="A41" zoomScale="60" workbookViewId="0">
      <selection activeCell="C47" sqref="C47"/>
    </sheetView>
  </sheetViews>
  <sheetFormatPr defaultColWidth="9" defaultRowHeight="14.5" x14ac:dyDescent="0.35"/>
  <cols>
    <col min="1" max="1" width="9.1796875" style="1" customWidth="1"/>
    <col min="2" max="2" width="24.1796875" style="1" customWidth="1"/>
    <col min="3" max="3" width="9.1796875" style="1" customWidth="1"/>
    <col min="4" max="4" width="19.81640625" style="1" customWidth="1"/>
    <col min="5" max="5" width="13.1796875" style="1" customWidth="1"/>
    <col min="6" max="6" width="14.453125" style="1" customWidth="1"/>
    <col min="7" max="8" width="9.1796875" style="1" customWidth="1"/>
    <col min="9" max="9" width="9.26953125" style="1" hidden="1" customWidth="1"/>
    <col min="10" max="10" width="13.7265625" style="1" customWidth="1"/>
    <col min="11" max="11" width="0.2695312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112</v>
      </c>
    </row>
    <row r="2" spans="2:15" x14ac:dyDescent="0.35">
      <c r="B2" s="1" t="str">
        <f>'FROM BOREHOLE'!B3</f>
        <v>P.O BOX 9473-00200 NAIROBI</v>
      </c>
      <c r="N2" s="1" t="s">
        <v>71</v>
      </c>
      <c r="O2" s="1" t="s">
        <v>70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'FROM BOREHOLE'!H4+31-1</f>
        <v>20242031</v>
      </c>
      <c r="J4" s="1">
        <f>'FROM BOREHOLE'!H4+31-1</f>
        <v>20242031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D6" s="4" t="str">
        <f>meter!A29</f>
        <v>Patrick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23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meter!D29</f>
        <v>211</v>
      </c>
      <c r="C16" s="8"/>
      <c r="D16" s="8">
        <f>meter!E29</f>
        <v>214</v>
      </c>
      <c r="E16" s="8" t="s">
        <v>17</v>
      </c>
      <c r="F16" s="9">
        <f>D16-B16</f>
        <v>3</v>
      </c>
      <c r="N16" s="1">
        <f t="shared" si="0"/>
        <v>9420</v>
      </c>
      <c r="O16" s="1">
        <v>9420</v>
      </c>
    </row>
    <row r="17" spans="2:15" x14ac:dyDescent="0.35">
      <c r="F17" s="1" t="s">
        <v>41</v>
      </c>
      <c r="N17" s="1">
        <f t="shared" si="0"/>
        <v>11154</v>
      </c>
      <c r="O17" s="1">
        <v>11154</v>
      </c>
    </row>
    <row r="18" spans="2:15" x14ac:dyDescent="0.35">
      <c r="D18" s="1" t="s">
        <v>23</v>
      </c>
      <c r="E18" s="1" t="s">
        <v>19</v>
      </c>
      <c r="F18" s="1">
        <f>meter!J29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1" t="s">
        <v>16</v>
      </c>
      <c r="F20" s="1">
        <f>meter!H29</f>
        <v>300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F24" s="11"/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/>
      <c r="E27" s="12"/>
      <c r="F27" s="11"/>
      <c r="N27" s="1">
        <f t="shared" si="0"/>
        <v>11393</v>
      </c>
      <c r="O27" s="1">
        <v>11393</v>
      </c>
    </row>
    <row r="28" spans="2:15" x14ac:dyDescent="0.35">
      <c r="F28" s="11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D30" s="1" t="s">
        <v>10</v>
      </c>
      <c r="E30" s="1" t="s">
        <v>19</v>
      </c>
      <c r="F30" s="11">
        <f>SUM(F17:F29)</f>
        <v>300</v>
      </c>
      <c r="H30" s="13"/>
      <c r="N30" s="1">
        <f t="shared" si="0"/>
        <v>9570</v>
      </c>
      <c r="O30" s="1">
        <v>9570</v>
      </c>
    </row>
    <row r="31" spans="2:15" x14ac:dyDescent="0.35">
      <c r="F31" s="11"/>
      <c r="N31" s="1">
        <f t="shared" si="0"/>
        <v>11390</v>
      </c>
      <c r="O31" s="1">
        <v>11390</v>
      </c>
    </row>
    <row r="32" spans="2:15" x14ac:dyDescent="0.35">
      <c r="D32" s="1" t="s">
        <v>25</v>
      </c>
      <c r="F32" s="11">
        <f>meter!L33</f>
        <v>0</v>
      </c>
      <c r="N32" s="1">
        <f t="shared" si="0"/>
        <v>10750</v>
      </c>
      <c r="O32" s="1">
        <v>10750</v>
      </c>
    </row>
    <row r="33" spans="1:18" x14ac:dyDescent="0.35">
      <c r="F33" s="11"/>
      <c r="N33" s="1">
        <f t="shared" si="0"/>
        <v>11732</v>
      </c>
      <c r="O33" s="1">
        <v>11732</v>
      </c>
    </row>
    <row r="34" spans="1:18" x14ac:dyDescent="0.35">
      <c r="D34" s="1" t="s">
        <v>55</v>
      </c>
      <c r="F34" s="13">
        <f>F30-F32</f>
        <v>300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11</v>
      </c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 t="s">
        <v>114</v>
      </c>
      <c r="L36" s="40"/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N37" s="1">
        <f t="shared" si="0"/>
        <v>8770</v>
      </c>
      <c r="O37" s="1">
        <v>8770</v>
      </c>
    </row>
    <row r="38" spans="1:18" x14ac:dyDescent="0.35">
      <c r="B38" s="15"/>
      <c r="K38" s="40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47</v>
      </c>
      <c r="B41" s="15"/>
    </row>
    <row r="42" spans="1:18" x14ac:dyDescent="0.35">
      <c r="A42" s="1" t="s">
        <v>48</v>
      </c>
      <c r="B42" s="15"/>
    </row>
    <row r="43" spans="1:18" x14ac:dyDescent="0.35">
      <c r="A43" s="1" t="s">
        <v>49</v>
      </c>
      <c r="B43" s="4"/>
    </row>
    <row r="44" spans="1:18" x14ac:dyDescent="0.35">
      <c r="B44" s="4"/>
      <c r="I44" s="41"/>
    </row>
    <row r="45" spans="1:18" x14ac:dyDescent="0.35">
      <c r="A45" s="16"/>
      <c r="B45" s="4"/>
      <c r="G45" s="16"/>
      <c r="H45" s="16"/>
    </row>
    <row r="46" spans="1:18" x14ac:dyDescent="0.35">
      <c r="B46" s="4"/>
    </row>
    <row r="47" spans="1:18" ht="32" x14ac:dyDescent="0.7">
      <c r="B47" s="17" t="s">
        <v>140</v>
      </c>
      <c r="C47" s="18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O49" s="1" t="s">
        <v>74</v>
      </c>
    </row>
    <row r="50" spans="1:15" ht="32" x14ac:dyDescent="0.7">
      <c r="A50" s="1" t="s">
        <v>50</v>
      </c>
      <c r="B50" s="17"/>
      <c r="G50" s="15"/>
      <c r="H50" s="15"/>
    </row>
    <row r="51" spans="1:15" ht="32" x14ac:dyDescent="0.7">
      <c r="A51" s="15"/>
      <c r="B51" s="96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</row>
    <row r="53" spans="1:15" x14ac:dyDescent="0.35">
      <c r="B53" s="15"/>
      <c r="C53" s="15"/>
    </row>
  </sheetData>
  <mergeCells count="1">
    <mergeCell ref="B51:K51"/>
  </mergeCells>
  <pageMargins left="0.7" right="0.7" top="0.75" bottom="0.75" header="0.3" footer="0.3"/>
  <pageSetup paperSize="9" scale="66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V53"/>
  <sheetViews>
    <sheetView topLeftCell="A25" zoomScale="60" workbookViewId="0">
      <selection activeCell="A47" sqref="A47:XFD47"/>
    </sheetView>
  </sheetViews>
  <sheetFormatPr defaultColWidth="9" defaultRowHeight="14.5" x14ac:dyDescent="0.35"/>
  <cols>
    <col min="1" max="1" width="9.1796875" style="1" customWidth="1"/>
    <col min="2" max="2" width="21" style="1" customWidth="1"/>
    <col min="3" max="3" width="9.1796875" style="1" customWidth="1"/>
    <col min="4" max="4" width="19.81640625" style="1" customWidth="1"/>
    <col min="5" max="5" width="13.1796875" style="1" customWidth="1"/>
    <col min="6" max="6" width="17.453125" style="1" customWidth="1"/>
    <col min="7" max="7" width="9.1796875" style="1" hidden="1" customWidth="1"/>
    <col min="8" max="8" width="9.54296875" style="1" customWidth="1"/>
    <col min="9" max="9" width="16.7265625" style="1" customWidth="1"/>
    <col min="10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1:15" ht="23.5" x14ac:dyDescent="0.55000000000000004">
      <c r="A1" s="12" t="s">
        <v>73</v>
      </c>
      <c r="B1" s="2" t="s">
        <v>112</v>
      </c>
    </row>
    <row r="2" spans="1:15" x14ac:dyDescent="0.35">
      <c r="B2" s="1" t="str">
        <f>'FROM BOREHOLE'!B3</f>
        <v>P.O BOX 9473-00200 NAIROBI</v>
      </c>
      <c r="N2" s="1" t="s">
        <v>71</v>
      </c>
      <c r="O2" s="1" t="s">
        <v>70</v>
      </c>
    </row>
    <row r="3" spans="1:15" ht="18.5" x14ac:dyDescent="0.45">
      <c r="B3" s="3" t="s">
        <v>0</v>
      </c>
      <c r="N3" s="1">
        <f>O3-Q3</f>
        <v>10270</v>
      </c>
      <c r="O3" s="1">
        <v>10270</v>
      </c>
    </row>
    <row r="4" spans="1:15" x14ac:dyDescent="0.35">
      <c r="H4" s="1" t="s">
        <v>6</v>
      </c>
      <c r="I4" s="1">
        <f>'FROM BOREHOLE'!H4+32-1</f>
        <v>20242032</v>
      </c>
      <c r="J4" s="1">
        <f>'FROM BOREHOLE'!H4+32-1</f>
        <v>20242032</v>
      </c>
      <c r="N4" s="1">
        <f t="shared" ref="N4:N38" si="0">O4-Q4</f>
        <v>10304</v>
      </c>
      <c r="O4" s="1">
        <v>10304</v>
      </c>
    </row>
    <row r="5" spans="1:15" x14ac:dyDescent="0.35">
      <c r="N5" s="1">
        <f t="shared" si="0"/>
        <v>10988</v>
      </c>
      <c r="O5" s="1">
        <v>10988</v>
      </c>
    </row>
    <row r="6" spans="1:15" x14ac:dyDescent="0.35">
      <c r="B6" s="1" t="s">
        <v>111</v>
      </c>
      <c r="D6" s="4" t="str">
        <f>meter!A30</f>
        <v>Jacky</v>
      </c>
      <c r="N6" s="1">
        <f t="shared" si="0"/>
        <v>11070</v>
      </c>
      <c r="O6" s="1">
        <v>11070</v>
      </c>
    </row>
    <row r="7" spans="1:15" x14ac:dyDescent="0.35">
      <c r="N7" s="1">
        <f t="shared" si="0"/>
        <v>1197</v>
      </c>
      <c r="O7" s="1">
        <v>1197</v>
      </c>
    </row>
    <row r="8" spans="1:15" x14ac:dyDescent="0.35">
      <c r="N8" s="1">
        <f t="shared" si="0"/>
        <v>9250</v>
      </c>
      <c r="O8" s="1">
        <v>9250</v>
      </c>
    </row>
    <row r="9" spans="1:15" x14ac:dyDescent="0.35">
      <c r="N9" s="1">
        <f t="shared" si="0"/>
        <v>8770</v>
      </c>
      <c r="O9" s="1">
        <v>8770</v>
      </c>
    </row>
    <row r="10" spans="1:15" x14ac:dyDescent="0.35">
      <c r="B10" s="1" t="s">
        <v>1</v>
      </c>
      <c r="D10" s="23" t="str">
        <f>'FROM BOREHOLE'!C10</f>
        <v>29TH JAN 2025</v>
      </c>
      <c r="N10" s="1">
        <f t="shared" si="0"/>
        <v>23190</v>
      </c>
      <c r="O10" s="1">
        <v>23190</v>
      </c>
    </row>
    <row r="11" spans="1:15" x14ac:dyDescent="0.35">
      <c r="N11" s="1">
        <f t="shared" si="0"/>
        <v>10910</v>
      </c>
      <c r="O11" s="1">
        <v>10910</v>
      </c>
    </row>
    <row r="12" spans="1:15" x14ac:dyDescent="0.35">
      <c r="B12" s="1" t="s">
        <v>2</v>
      </c>
      <c r="D12" s="5" t="str">
        <f>'FROM BOREHOLE'!C12</f>
        <v>5TH FEB 2026</v>
      </c>
      <c r="N12" s="1">
        <f t="shared" si="0"/>
        <v>10910</v>
      </c>
      <c r="O12" s="1">
        <v>10910</v>
      </c>
    </row>
    <row r="13" spans="1:15" x14ac:dyDescent="0.35">
      <c r="C13" s="1" t="s">
        <v>31</v>
      </c>
      <c r="N13" s="1">
        <f t="shared" si="0"/>
        <v>12190</v>
      </c>
      <c r="O13" s="1">
        <v>12190</v>
      </c>
    </row>
    <row r="14" spans="1:15" x14ac:dyDescent="0.35">
      <c r="N14" s="1">
        <f t="shared" si="0"/>
        <v>11070</v>
      </c>
      <c r="O14" s="1">
        <v>11070</v>
      </c>
    </row>
    <row r="15" spans="1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1:15" x14ac:dyDescent="0.35">
      <c r="B16" s="8">
        <f>meter!D30</f>
        <v>117</v>
      </c>
      <c r="C16" s="8"/>
      <c r="D16" s="8">
        <f>meter!E30</f>
        <v>119</v>
      </c>
      <c r="E16" s="8" t="s">
        <v>17</v>
      </c>
      <c r="F16" s="9">
        <f>D16-B16</f>
        <v>2</v>
      </c>
      <c r="N16" s="1">
        <f t="shared" si="0"/>
        <v>9420</v>
      </c>
      <c r="O16" s="1">
        <v>9420</v>
      </c>
    </row>
    <row r="17" spans="2:15" x14ac:dyDescent="0.35">
      <c r="F17" s="1" t="s">
        <v>41</v>
      </c>
      <c r="N17" s="1">
        <f t="shared" si="0"/>
        <v>11154</v>
      </c>
      <c r="O17" s="1">
        <v>11154</v>
      </c>
    </row>
    <row r="18" spans="2:15" x14ac:dyDescent="0.35">
      <c r="D18" s="1" t="s">
        <v>23</v>
      </c>
      <c r="E18" s="1" t="s">
        <v>19</v>
      </c>
      <c r="F18" s="1">
        <f>meter!J30</f>
        <v>3700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1" t="s">
        <v>16</v>
      </c>
      <c r="F20" s="1">
        <f>meter!H30</f>
        <v>200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F24" s="11"/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/>
      <c r="E27" s="12"/>
      <c r="F27" s="11"/>
      <c r="N27" s="1">
        <f t="shared" si="0"/>
        <v>11393</v>
      </c>
      <c r="O27" s="1">
        <v>11393</v>
      </c>
    </row>
    <row r="28" spans="2:15" x14ac:dyDescent="0.35">
      <c r="F28" s="11"/>
      <c r="N28" s="1">
        <f t="shared" si="0"/>
        <v>10802</v>
      </c>
      <c r="O28" s="1">
        <v>10802</v>
      </c>
    </row>
    <row r="29" spans="2:15" x14ac:dyDescent="0.35">
      <c r="F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D30" s="1" t="s">
        <v>10</v>
      </c>
      <c r="E30" s="1" t="s">
        <v>19</v>
      </c>
      <c r="F30" s="11">
        <f>SUM(F17:F29)</f>
        <v>3900</v>
      </c>
      <c r="H30" s="13"/>
      <c r="N30" s="1">
        <f t="shared" si="0"/>
        <v>9570</v>
      </c>
      <c r="O30" s="1">
        <v>9570</v>
      </c>
    </row>
    <row r="31" spans="2:15" x14ac:dyDescent="0.35">
      <c r="F31" s="11"/>
      <c r="N31" s="1">
        <f t="shared" si="0"/>
        <v>11390</v>
      </c>
      <c r="O31" s="1">
        <v>11390</v>
      </c>
    </row>
    <row r="32" spans="2:15" x14ac:dyDescent="0.35">
      <c r="D32" s="1" t="s">
        <v>25</v>
      </c>
      <c r="F32" s="11">
        <f>meter!L34</f>
        <v>0</v>
      </c>
      <c r="N32" s="1">
        <f t="shared" si="0"/>
        <v>10750</v>
      </c>
      <c r="O32" s="1">
        <v>10750</v>
      </c>
    </row>
    <row r="33" spans="1:18" x14ac:dyDescent="0.35">
      <c r="F33" s="11"/>
      <c r="N33" s="1">
        <f t="shared" si="0"/>
        <v>11732</v>
      </c>
      <c r="O33" s="1">
        <v>11732</v>
      </c>
    </row>
    <row r="34" spans="1:18" x14ac:dyDescent="0.35">
      <c r="D34" s="1" t="s">
        <v>55</v>
      </c>
      <c r="F34" s="13">
        <f>F30-F32</f>
        <v>3900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11</v>
      </c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 t="s">
        <v>114</v>
      </c>
      <c r="L36" s="40"/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N37" s="1">
        <f t="shared" si="0"/>
        <v>8770</v>
      </c>
      <c r="O37" s="1">
        <v>8770</v>
      </c>
    </row>
    <row r="38" spans="1:18" x14ac:dyDescent="0.35">
      <c r="B38" s="15"/>
      <c r="K38" s="40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47</v>
      </c>
      <c r="B41" s="15"/>
    </row>
    <row r="42" spans="1:18" x14ac:dyDescent="0.35">
      <c r="A42" s="1" t="s">
        <v>48</v>
      </c>
      <c r="B42" s="15"/>
    </row>
    <row r="43" spans="1:18" x14ac:dyDescent="0.35">
      <c r="A43" s="1" t="s">
        <v>49</v>
      </c>
      <c r="B43" s="4"/>
    </row>
    <row r="44" spans="1:18" x14ac:dyDescent="0.35">
      <c r="B44" s="4"/>
      <c r="I44" s="41"/>
    </row>
    <row r="45" spans="1:18" x14ac:dyDescent="0.35">
      <c r="A45" s="16"/>
      <c r="B45" s="4"/>
      <c r="G45" s="16"/>
      <c r="H45" s="16"/>
    </row>
    <row r="46" spans="1:18" x14ac:dyDescent="0.35">
      <c r="B46" s="4"/>
    </row>
    <row r="47" spans="1:18" s="98" customFormat="1" ht="31" customHeight="1" x14ac:dyDescent="0.7">
      <c r="A47" s="97" t="s">
        <v>141</v>
      </c>
    </row>
    <row r="48" spans="1:18" s="98" customFormat="1" x14ac:dyDescent="0.35">
      <c r="A48" s="99"/>
    </row>
    <row r="49" spans="1:15" x14ac:dyDescent="0.35">
      <c r="A49" s="15"/>
      <c r="B49" s="16"/>
      <c r="O49" s="1" t="s">
        <v>74</v>
      </c>
    </row>
    <row r="50" spans="1:15" ht="32" x14ac:dyDescent="0.7">
      <c r="A50" s="1" t="s">
        <v>31</v>
      </c>
      <c r="B50" s="17"/>
      <c r="G50" s="15"/>
      <c r="H50" s="15"/>
    </row>
    <row r="51" spans="1:15" ht="32" x14ac:dyDescent="0.7">
      <c r="A51" s="15"/>
      <c r="B51" s="96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</row>
    <row r="53" spans="1:15" x14ac:dyDescent="0.35">
      <c r="B53" s="15"/>
      <c r="C53" s="15"/>
    </row>
  </sheetData>
  <mergeCells count="3">
    <mergeCell ref="B51:K51"/>
    <mergeCell ref="A47:XFD47"/>
    <mergeCell ref="A48:XFD48"/>
  </mergeCells>
  <pageMargins left="0.7" right="0.7" top="0.75" bottom="0.75" header="0.3" footer="0.3"/>
  <pageSetup paperSize="9" scale="74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V53"/>
  <sheetViews>
    <sheetView topLeftCell="A41" zoomScale="60" workbookViewId="0">
      <selection activeCell="J58" sqref="J58"/>
    </sheetView>
  </sheetViews>
  <sheetFormatPr defaultColWidth="9" defaultRowHeight="14.5" x14ac:dyDescent="0.35"/>
  <cols>
    <col min="1" max="1" width="9.1796875" style="1" customWidth="1"/>
    <col min="2" max="2" width="20.7265625" style="1" customWidth="1"/>
    <col min="3" max="3" width="9.1796875" style="1" customWidth="1"/>
    <col min="4" max="4" width="19.81640625" style="1" customWidth="1"/>
    <col min="5" max="5" width="13.1796875" style="1" customWidth="1"/>
    <col min="6" max="6" width="15.7265625" style="1" customWidth="1"/>
    <col min="7" max="7" width="9.1796875" style="1" hidden="1" customWidth="1"/>
    <col min="8" max="8" width="9.1796875" style="1" customWidth="1"/>
    <col min="9" max="9" width="15.7265625" style="1" customWidth="1"/>
    <col min="10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112</v>
      </c>
    </row>
    <row r="2" spans="2:15" x14ac:dyDescent="0.35">
      <c r="B2" s="1" t="str">
        <f>'FROM BOREHOLE'!B3</f>
        <v>P.O BOX 9473-00200 NAIROBI</v>
      </c>
      <c r="N2" s="1" t="s">
        <v>71</v>
      </c>
      <c r="O2" s="1" t="s">
        <v>70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'FROM BOREHOLE'!H4+33-1</f>
        <v>20242033</v>
      </c>
      <c r="J4" s="1">
        <f>'FROM BOREHOLE'!H4+33-1</f>
        <v>20242033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D6" s="4" t="str">
        <f>meter!A31</f>
        <v>NAOMI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meter!D31</f>
        <v>155</v>
      </c>
      <c r="C16" s="8"/>
      <c r="D16" s="8">
        <f>meter!E31</f>
        <v>211</v>
      </c>
      <c r="E16" s="8" t="s">
        <v>17</v>
      </c>
      <c r="F16" s="9">
        <f>D16-B16</f>
        <v>56</v>
      </c>
      <c r="N16" s="1">
        <f t="shared" si="0"/>
        <v>9420</v>
      </c>
      <c r="O16" s="1">
        <v>9420</v>
      </c>
    </row>
    <row r="17" spans="2:15" x14ac:dyDescent="0.35">
      <c r="F17" s="1" t="s">
        <v>41</v>
      </c>
      <c r="N17" s="1">
        <f t="shared" si="0"/>
        <v>11154</v>
      </c>
      <c r="O17" s="1">
        <v>11154</v>
      </c>
    </row>
    <row r="18" spans="2:15" x14ac:dyDescent="0.35">
      <c r="D18" s="1" t="s">
        <v>23</v>
      </c>
      <c r="E18" s="1" t="s">
        <v>19</v>
      </c>
      <c r="F18" s="73">
        <f>meter!J31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1" t="s">
        <v>16</v>
      </c>
      <c r="F20" s="1">
        <f>meter!H31</f>
        <v>5600</v>
      </c>
      <c r="N20" s="1">
        <f t="shared" si="0"/>
        <v>10590</v>
      </c>
      <c r="O20" s="1">
        <v>10590</v>
      </c>
    </row>
    <row r="21" spans="2:15" x14ac:dyDescent="0.35">
      <c r="F21" s="45"/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F24" s="11"/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/>
      <c r="E27" s="12"/>
      <c r="F27" s="11"/>
      <c r="N27" s="1">
        <f t="shared" si="0"/>
        <v>11393</v>
      </c>
      <c r="O27" s="1">
        <v>11393</v>
      </c>
    </row>
    <row r="28" spans="2:15" x14ac:dyDescent="0.35">
      <c r="F28" s="11"/>
      <c r="N28" s="1">
        <f t="shared" si="0"/>
        <v>10802</v>
      </c>
      <c r="O28" s="1">
        <v>10802</v>
      </c>
    </row>
    <row r="29" spans="2:15" x14ac:dyDescent="0.35">
      <c r="F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D30" s="1" t="s">
        <v>10</v>
      </c>
      <c r="E30" s="1" t="s">
        <v>19</v>
      </c>
      <c r="F30" s="11">
        <f>SUM(F17:F29)</f>
        <v>5600</v>
      </c>
      <c r="H30" s="13"/>
      <c r="N30" s="1">
        <f t="shared" si="0"/>
        <v>9570</v>
      </c>
      <c r="O30" s="1">
        <v>9570</v>
      </c>
    </row>
    <row r="31" spans="2:15" x14ac:dyDescent="0.35">
      <c r="F31" s="11"/>
      <c r="N31" s="1">
        <f t="shared" si="0"/>
        <v>11390</v>
      </c>
      <c r="O31" s="1">
        <v>11390</v>
      </c>
    </row>
    <row r="32" spans="2:15" x14ac:dyDescent="0.35">
      <c r="D32" s="1" t="s">
        <v>25</v>
      </c>
      <c r="F32" s="11">
        <v>0</v>
      </c>
      <c r="N32" s="1">
        <f t="shared" si="0"/>
        <v>10750</v>
      </c>
      <c r="O32" s="1">
        <v>10750</v>
      </c>
    </row>
    <row r="33" spans="1:256" x14ac:dyDescent="0.35">
      <c r="F33" s="11"/>
      <c r="N33" s="1">
        <f t="shared" si="0"/>
        <v>11732</v>
      </c>
      <c r="O33" s="1">
        <v>11732</v>
      </c>
    </row>
    <row r="34" spans="1:256" s="68" customFormat="1" x14ac:dyDescent="0.35">
      <c r="A34" s="65"/>
      <c r="B34" s="65"/>
      <c r="C34" s="65"/>
      <c r="D34" s="65" t="s">
        <v>55</v>
      </c>
      <c r="E34" s="65"/>
      <c r="F34" s="66">
        <f>F30-F32</f>
        <v>5600</v>
      </c>
      <c r="G34" s="65"/>
      <c r="H34" s="65"/>
      <c r="I34" s="65"/>
      <c r="J34" s="65"/>
      <c r="K34" s="65"/>
      <c r="L34" s="65"/>
      <c r="M34" s="65"/>
      <c r="N34" s="65">
        <f t="shared" si="0"/>
        <v>10934</v>
      </c>
      <c r="O34" s="65">
        <v>10934</v>
      </c>
      <c r="P34" s="65"/>
      <c r="Q34" s="65"/>
      <c r="R34" s="65">
        <v>700</v>
      </c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65"/>
      <c r="EJ34" s="65"/>
      <c r="EK34" s="65"/>
      <c r="EL34" s="65"/>
      <c r="EM34" s="65"/>
      <c r="EN34" s="65"/>
      <c r="EO34" s="65"/>
      <c r="EP34" s="65"/>
      <c r="EQ34" s="65"/>
      <c r="ER34" s="65"/>
      <c r="ES34" s="65"/>
      <c r="ET34" s="65"/>
      <c r="EU34" s="65"/>
      <c r="EV34" s="65"/>
      <c r="EW34" s="65"/>
      <c r="EX34" s="65"/>
      <c r="EY34" s="65"/>
      <c r="EZ34" s="65"/>
      <c r="FA34" s="65"/>
      <c r="FB34" s="65"/>
      <c r="FC34" s="65"/>
      <c r="FD34" s="65"/>
      <c r="FE34" s="65"/>
      <c r="FF34" s="65"/>
      <c r="FG34" s="65"/>
      <c r="FH34" s="65"/>
      <c r="FI34" s="65"/>
      <c r="FJ34" s="65"/>
      <c r="FK34" s="65"/>
      <c r="FL34" s="65"/>
      <c r="FM34" s="65"/>
      <c r="FN34" s="65"/>
      <c r="FO34" s="65"/>
      <c r="FP34" s="65"/>
      <c r="FQ34" s="65"/>
      <c r="FR34" s="65"/>
      <c r="FS34" s="65"/>
      <c r="FT34" s="65"/>
      <c r="FU34" s="65"/>
      <c r="FV34" s="65"/>
      <c r="FW34" s="65"/>
      <c r="FX34" s="65"/>
      <c r="FY34" s="65"/>
      <c r="FZ34" s="65"/>
      <c r="GA34" s="65"/>
      <c r="GB34" s="65"/>
      <c r="GC34" s="65"/>
      <c r="GD34" s="65"/>
      <c r="GE34" s="65"/>
      <c r="GF34" s="65"/>
      <c r="GG34" s="65"/>
      <c r="GH34" s="65"/>
      <c r="GI34" s="65"/>
      <c r="GJ34" s="65"/>
      <c r="GK34" s="65"/>
      <c r="GL34" s="65"/>
      <c r="GM34" s="65"/>
      <c r="GN34" s="65"/>
      <c r="GO34" s="65"/>
      <c r="GP34" s="65"/>
      <c r="GQ34" s="65"/>
      <c r="GR34" s="65"/>
      <c r="GS34" s="65"/>
      <c r="GT34" s="65"/>
      <c r="GU34" s="65"/>
      <c r="GV34" s="65"/>
      <c r="GW34" s="65"/>
      <c r="GX34" s="65"/>
      <c r="GY34" s="65"/>
      <c r="GZ34" s="65"/>
      <c r="HA34" s="65"/>
      <c r="HB34" s="65"/>
      <c r="HC34" s="65"/>
      <c r="HD34" s="65"/>
      <c r="HE34" s="65"/>
      <c r="HF34" s="65"/>
      <c r="HG34" s="65"/>
      <c r="HH34" s="65"/>
      <c r="HI34" s="65"/>
      <c r="HJ34" s="65"/>
      <c r="HK34" s="65"/>
      <c r="HL34" s="65"/>
      <c r="HM34" s="65"/>
      <c r="HN34" s="65"/>
      <c r="HO34" s="65"/>
      <c r="HP34" s="65"/>
      <c r="HQ34" s="65"/>
      <c r="HR34" s="65"/>
      <c r="HS34" s="65"/>
      <c r="HT34" s="65"/>
      <c r="HU34" s="65"/>
      <c r="HV34" s="65"/>
      <c r="HW34" s="65"/>
      <c r="HX34" s="65"/>
      <c r="HY34" s="65"/>
      <c r="HZ34" s="65"/>
      <c r="IA34" s="65"/>
      <c r="IB34" s="65"/>
      <c r="IC34" s="65"/>
      <c r="ID34" s="65"/>
      <c r="IE34" s="65"/>
      <c r="IF34" s="65"/>
      <c r="IG34" s="65"/>
      <c r="IH34" s="65"/>
      <c r="II34" s="65"/>
      <c r="IJ34" s="65"/>
      <c r="IK34" s="65"/>
      <c r="IL34" s="65"/>
      <c r="IM34" s="65"/>
      <c r="IN34" s="65"/>
      <c r="IO34" s="65"/>
      <c r="IP34" s="65"/>
      <c r="IQ34" s="65"/>
      <c r="IR34" s="65"/>
      <c r="IS34" s="65"/>
      <c r="IT34" s="65"/>
      <c r="IU34" s="65"/>
      <c r="IV34" s="65"/>
    </row>
    <row r="35" spans="1:256" ht="15.5" x14ac:dyDescent="0.35">
      <c r="C35" s="10" t="s">
        <v>11</v>
      </c>
      <c r="N35" s="1">
        <f t="shared" si="0"/>
        <v>10270</v>
      </c>
      <c r="O35" s="1">
        <v>10270</v>
      </c>
    </row>
    <row r="36" spans="1:256" ht="18.5" x14ac:dyDescent="0.45">
      <c r="A36" s="1" t="s">
        <v>44</v>
      </c>
      <c r="B36" s="14"/>
      <c r="L36" s="40"/>
      <c r="N36" s="1">
        <f t="shared" si="0"/>
        <v>10598</v>
      </c>
      <c r="O36" s="1">
        <v>10598</v>
      </c>
    </row>
    <row r="37" spans="1:256" x14ac:dyDescent="0.35">
      <c r="A37" s="1" t="s">
        <v>45</v>
      </c>
      <c r="B37" s="15"/>
      <c r="N37" s="1">
        <f t="shared" si="0"/>
        <v>8770</v>
      </c>
      <c r="O37" s="1">
        <v>8770</v>
      </c>
    </row>
    <row r="38" spans="1:256" x14ac:dyDescent="0.35">
      <c r="B38" s="15"/>
      <c r="K38" s="40"/>
      <c r="N38" s="1">
        <f t="shared" si="0"/>
        <v>8770</v>
      </c>
      <c r="O38" s="1">
        <v>8770</v>
      </c>
    </row>
    <row r="39" spans="1:256" x14ac:dyDescent="0.35">
      <c r="A39" s="1" t="s">
        <v>46</v>
      </c>
      <c r="B39" s="15"/>
      <c r="O39" s="1">
        <f>SUM(O3:O38)</f>
        <v>391268</v>
      </c>
      <c r="Q39" s="1">
        <f>SUM(Q3:Q38)</f>
        <v>0</v>
      </c>
    </row>
    <row r="40" spans="1:256" hidden="1" x14ac:dyDescent="0.35">
      <c r="B40" s="15"/>
    </row>
    <row r="41" spans="1:256" x14ac:dyDescent="0.35">
      <c r="A41" s="1" t="s">
        <v>47</v>
      </c>
      <c r="B41" s="15"/>
    </row>
    <row r="42" spans="1:256" x14ac:dyDescent="0.35">
      <c r="A42" s="1" t="s">
        <v>48</v>
      </c>
      <c r="B42" s="15"/>
    </row>
    <row r="43" spans="1:256" x14ac:dyDescent="0.35">
      <c r="A43" s="1" t="s">
        <v>49</v>
      </c>
      <c r="B43" s="4"/>
    </row>
    <row r="44" spans="1:256" x14ac:dyDescent="0.35">
      <c r="B44" s="4"/>
      <c r="I44" s="41"/>
    </row>
    <row r="45" spans="1:256" x14ac:dyDescent="0.35">
      <c r="A45" s="16"/>
      <c r="B45" s="4"/>
      <c r="G45" s="16"/>
      <c r="H45" s="16"/>
    </row>
    <row r="46" spans="1:256" x14ac:dyDescent="0.35">
      <c r="B46" s="4"/>
    </row>
    <row r="47" spans="1:256" ht="32" x14ac:dyDescent="0.7">
      <c r="B47" s="4" t="s">
        <v>114</v>
      </c>
      <c r="C47" s="17"/>
      <c r="D47" s="18"/>
      <c r="E47" s="18"/>
      <c r="F47" s="18"/>
    </row>
    <row r="48" spans="1:256" x14ac:dyDescent="0.35">
      <c r="C48" s="16"/>
      <c r="D48" s="16"/>
      <c r="E48" s="16"/>
      <c r="F48" s="16"/>
      <c r="G48" s="16"/>
    </row>
    <row r="49" spans="1:15" x14ac:dyDescent="0.35">
      <c r="A49" s="15"/>
      <c r="B49" s="15"/>
      <c r="C49" s="16"/>
      <c r="O49" s="1" t="s">
        <v>74</v>
      </c>
    </row>
    <row r="50" spans="1:15" ht="32" x14ac:dyDescent="0.7">
      <c r="A50" s="1" t="s">
        <v>50</v>
      </c>
      <c r="C50" s="17"/>
      <c r="H50" s="15"/>
      <c r="I50" s="15"/>
    </row>
    <row r="51" spans="1:15" ht="29.5" customHeight="1" x14ac:dyDescent="0.7">
      <c r="A51" s="15"/>
      <c r="B51" s="92" t="s">
        <v>31</v>
      </c>
      <c r="C51" s="93" t="s">
        <v>142</v>
      </c>
      <c r="D51" s="94"/>
      <c r="E51" s="94"/>
      <c r="F51" s="94"/>
      <c r="G51" s="94"/>
      <c r="H51" s="94"/>
      <c r="I51" s="94"/>
      <c r="J51" s="94"/>
      <c r="K51" s="94"/>
      <c r="L51" s="95"/>
    </row>
    <row r="52" spans="1:15" x14ac:dyDescent="0.35">
      <c r="A52" s="15"/>
      <c r="B52" s="15"/>
      <c r="C52" s="15"/>
      <c r="D52" s="4"/>
    </row>
    <row r="53" spans="1:15" x14ac:dyDescent="0.35">
      <c r="C53" s="15"/>
      <c r="D53" s="15"/>
    </row>
  </sheetData>
  <mergeCells count="1">
    <mergeCell ref="C51:L51"/>
  </mergeCells>
  <phoneticPr fontId="21" type="noConversion"/>
  <pageMargins left="0.7" right="0.7" top="0.75" bottom="0.75" header="0.3" footer="0.3"/>
  <pageSetup paperSize="9" scale="75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V53"/>
  <sheetViews>
    <sheetView topLeftCell="A21" zoomScale="60" workbookViewId="0">
      <selection activeCell="N51" sqref="N51"/>
    </sheetView>
  </sheetViews>
  <sheetFormatPr defaultColWidth="9" defaultRowHeight="14.5" x14ac:dyDescent="0.35"/>
  <cols>
    <col min="1" max="1" width="9.1796875" style="1" customWidth="1"/>
    <col min="2" max="2" width="21.81640625" style="1" customWidth="1"/>
    <col min="3" max="3" width="9.1796875" style="1" customWidth="1"/>
    <col min="4" max="4" width="23.1796875" style="1" customWidth="1"/>
    <col min="5" max="5" width="13.1796875" style="1" customWidth="1"/>
    <col min="6" max="6" width="15" style="1" customWidth="1"/>
    <col min="7" max="8" width="9.1796875" style="1" customWidth="1"/>
    <col min="9" max="9" width="9.26953125" style="1" hidden="1" customWidth="1"/>
    <col min="10" max="10" width="13.81640625" style="1" customWidth="1"/>
    <col min="11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112</v>
      </c>
    </row>
    <row r="2" spans="2:15" x14ac:dyDescent="0.35">
      <c r="B2" s="1" t="str">
        <f>'FROM BOREHOLE'!B3</f>
        <v>P.O BOX 9473-00200 NAIROBI</v>
      </c>
      <c r="N2" s="1" t="s">
        <v>71</v>
      </c>
      <c r="O2" s="1" t="s">
        <v>70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'FROM BOREHOLE'!H4+34-1</f>
        <v>20242034</v>
      </c>
      <c r="J4" s="1">
        <f>'FROM BOREHOLE'!H4+34-1</f>
        <v>20242034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D6" s="4" t="str">
        <f>meter!A32</f>
        <v>SALMA SPROUTS LTD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meter!D32</f>
        <v>95</v>
      </c>
      <c r="C16" s="8"/>
      <c r="D16" s="8">
        <f>meter!E32</f>
        <v>453</v>
      </c>
      <c r="E16" s="8" t="s">
        <v>17</v>
      </c>
      <c r="F16" s="9">
        <f>D16-B16</f>
        <v>358</v>
      </c>
      <c r="N16" s="1">
        <f t="shared" si="0"/>
        <v>9420</v>
      </c>
      <c r="O16" s="1">
        <v>9420</v>
      </c>
    </row>
    <row r="17" spans="2:15" x14ac:dyDescent="0.35">
      <c r="F17" s="1" t="s">
        <v>41</v>
      </c>
      <c r="N17" s="1">
        <f t="shared" si="0"/>
        <v>11154</v>
      </c>
      <c r="O17" s="1">
        <v>11154</v>
      </c>
    </row>
    <row r="18" spans="2:15" x14ac:dyDescent="0.35">
      <c r="D18" s="1" t="s">
        <v>23</v>
      </c>
      <c r="E18" s="1" t="s">
        <v>19</v>
      </c>
      <c r="F18" s="1">
        <f>meter!J32</f>
        <v>0</v>
      </c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1" t="s">
        <v>16</v>
      </c>
      <c r="F20" s="1">
        <f>meter!H32</f>
        <v>35800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F24" s="11"/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/>
      <c r="E27" s="12"/>
      <c r="F27" s="11"/>
      <c r="N27" s="1">
        <f t="shared" si="0"/>
        <v>11393</v>
      </c>
      <c r="O27" s="1">
        <v>11393</v>
      </c>
    </row>
    <row r="28" spans="2:15" x14ac:dyDescent="0.35">
      <c r="F28" s="11"/>
      <c r="N28" s="1">
        <f t="shared" si="0"/>
        <v>10802</v>
      </c>
      <c r="O28" s="1">
        <v>10802</v>
      </c>
    </row>
    <row r="29" spans="2:15" x14ac:dyDescent="0.35">
      <c r="F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D30" s="1" t="s">
        <v>10</v>
      </c>
      <c r="E30" s="1" t="s">
        <v>19</v>
      </c>
      <c r="F30" s="11">
        <f>SUM(F17:F29)</f>
        <v>35800</v>
      </c>
      <c r="H30" s="13"/>
      <c r="L30" s="13"/>
      <c r="N30" s="1">
        <f t="shared" si="0"/>
        <v>9570</v>
      </c>
      <c r="O30" s="1">
        <v>9570</v>
      </c>
    </row>
    <row r="31" spans="2:15" x14ac:dyDescent="0.35">
      <c r="F31" s="11"/>
      <c r="N31" s="1">
        <f t="shared" si="0"/>
        <v>11390</v>
      </c>
      <c r="O31" s="1">
        <v>11390</v>
      </c>
    </row>
    <row r="32" spans="2:15" x14ac:dyDescent="0.35">
      <c r="D32" s="1" t="s">
        <v>25</v>
      </c>
      <c r="F32" s="11">
        <f>meter!L36</f>
        <v>0</v>
      </c>
      <c r="N32" s="1">
        <f t="shared" si="0"/>
        <v>10750</v>
      </c>
      <c r="O32" s="1">
        <v>10750</v>
      </c>
    </row>
    <row r="33" spans="1:256" x14ac:dyDescent="0.35">
      <c r="F33" s="11"/>
      <c r="N33" s="1">
        <f t="shared" si="0"/>
        <v>11732</v>
      </c>
      <c r="O33" s="1">
        <v>11732</v>
      </c>
    </row>
    <row r="34" spans="1:256" x14ac:dyDescent="0.35">
      <c r="D34" s="1" t="s">
        <v>55</v>
      </c>
      <c r="F34" s="13">
        <f>F30-F32</f>
        <v>35800</v>
      </c>
      <c r="N34" s="1">
        <f t="shared" si="0"/>
        <v>10934</v>
      </c>
      <c r="O34" s="1">
        <v>10934</v>
      </c>
      <c r="R34" s="1">
        <v>700</v>
      </c>
    </row>
    <row r="35" spans="1:256" ht="15.5" x14ac:dyDescent="0.35">
      <c r="C35" s="10" t="s">
        <v>11</v>
      </c>
      <c r="N35" s="1">
        <f t="shared" si="0"/>
        <v>10270</v>
      </c>
      <c r="O35" s="1">
        <v>10270</v>
      </c>
    </row>
    <row r="36" spans="1:256" ht="18.5" x14ac:dyDescent="0.45">
      <c r="A36" s="1" t="s">
        <v>44</v>
      </c>
      <c r="B36" s="14"/>
      <c r="L36" s="40"/>
      <c r="N36" s="1">
        <f t="shared" si="0"/>
        <v>10598</v>
      </c>
      <c r="O36" s="1">
        <v>10598</v>
      </c>
    </row>
    <row r="37" spans="1:256" x14ac:dyDescent="0.35">
      <c r="A37" s="1" t="s">
        <v>45</v>
      </c>
      <c r="B37" s="15"/>
      <c r="N37" s="1">
        <f t="shared" si="0"/>
        <v>8770</v>
      </c>
      <c r="O37" s="1">
        <v>8770</v>
      </c>
    </row>
    <row r="38" spans="1:256" x14ac:dyDescent="0.35">
      <c r="B38" s="15"/>
      <c r="K38" s="40"/>
      <c r="N38" s="1">
        <f t="shared" si="0"/>
        <v>8770</v>
      </c>
      <c r="O38" s="1">
        <v>8770</v>
      </c>
    </row>
    <row r="39" spans="1:256" x14ac:dyDescent="0.35">
      <c r="A39" s="1" t="s">
        <v>46</v>
      </c>
      <c r="B39" s="15"/>
      <c r="O39" s="1">
        <f>SUM(O3:O38)</f>
        <v>391268</v>
      </c>
      <c r="Q39" s="1">
        <f>SUM(Q3:Q38)</f>
        <v>0</v>
      </c>
    </row>
    <row r="40" spans="1:256" hidden="1" x14ac:dyDescent="0.35">
      <c r="B40" s="15"/>
    </row>
    <row r="41" spans="1:256" x14ac:dyDescent="0.35">
      <c r="A41" s="1" t="s">
        <v>47</v>
      </c>
      <c r="B41" s="15"/>
    </row>
    <row r="42" spans="1:256" x14ac:dyDescent="0.35">
      <c r="A42" s="1" t="s">
        <v>48</v>
      </c>
      <c r="B42" s="15"/>
    </row>
    <row r="43" spans="1:256" x14ac:dyDescent="0.35">
      <c r="A43" s="1" t="s">
        <v>49</v>
      </c>
      <c r="B43" s="4"/>
    </row>
    <row r="44" spans="1:256" x14ac:dyDescent="0.35">
      <c r="B44" s="4"/>
      <c r="I44" s="16"/>
    </row>
    <row r="45" spans="1:256" x14ac:dyDescent="0.35">
      <c r="A45" s="16"/>
      <c r="B45" s="4"/>
      <c r="G45" s="16"/>
      <c r="H45" s="16"/>
    </row>
    <row r="46" spans="1:256" x14ac:dyDescent="0.35">
      <c r="B46" s="4"/>
    </row>
    <row r="47" spans="1:256" ht="32" x14ac:dyDescent="0.7">
      <c r="B47" s="10" t="s">
        <v>114</v>
      </c>
      <c r="C47" s="18"/>
      <c r="D47" s="18"/>
      <c r="E47" s="18"/>
      <c r="IV47"/>
    </row>
    <row r="48" spans="1:256" x14ac:dyDescent="0.35">
      <c r="B48" s="16"/>
      <c r="C48" s="16"/>
      <c r="D48" s="16"/>
      <c r="E48" s="16"/>
      <c r="F48" s="16"/>
      <c r="IV48"/>
    </row>
    <row r="49" spans="1:256" x14ac:dyDescent="0.35">
      <c r="A49" s="15"/>
      <c r="B49" s="16"/>
      <c r="O49" s="1" t="s">
        <v>74</v>
      </c>
      <c r="IV49"/>
    </row>
    <row r="50" spans="1:256" ht="32" x14ac:dyDescent="0.7">
      <c r="A50" s="1" t="s">
        <v>50</v>
      </c>
      <c r="B50" s="17"/>
      <c r="G50" s="15"/>
      <c r="H50" s="15"/>
      <c r="IV50"/>
    </row>
    <row r="51" spans="1:256" ht="32" x14ac:dyDescent="0.7">
      <c r="A51" s="15"/>
      <c r="B51" s="93" t="s">
        <v>143</v>
      </c>
      <c r="C51" s="94"/>
      <c r="D51" s="94"/>
      <c r="E51" s="94"/>
      <c r="F51" s="94"/>
      <c r="G51" s="94"/>
      <c r="H51" s="94"/>
      <c r="I51" s="94"/>
      <c r="J51" s="94"/>
      <c r="K51" s="95"/>
      <c r="IV51"/>
    </row>
    <row r="52" spans="1:256" x14ac:dyDescent="0.35">
      <c r="A52" s="15"/>
      <c r="B52" s="15"/>
      <c r="C52" s="4"/>
      <c r="IV52"/>
    </row>
    <row r="53" spans="1:256" x14ac:dyDescent="0.35">
      <c r="B53" s="15"/>
      <c r="C53" s="15"/>
      <c r="IV53"/>
    </row>
  </sheetData>
  <mergeCells count="1">
    <mergeCell ref="B51:K51"/>
  </mergeCells>
  <pageMargins left="0.7" right="0.7" top="0.75" bottom="0.75" header="0.3" footer="0.3"/>
  <pageSetup paperSize="9" scale="63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L74"/>
  <sheetViews>
    <sheetView zoomScale="55" workbookViewId="0">
      <selection activeCell="C5" sqref="C5"/>
    </sheetView>
  </sheetViews>
  <sheetFormatPr defaultColWidth="9" defaultRowHeight="21" x14ac:dyDescent="0.5"/>
  <cols>
    <col min="1" max="1" width="29.81640625" style="46" customWidth="1"/>
    <col min="2" max="2" width="9.453125" style="46" customWidth="1"/>
    <col min="3" max="3" width="12.54296875" style="46" customWidth="1"/>
    <col min="4" max="5" width="13.81640625" style="46" customWidth="1"/>
    <col min="6" max="6" width="16.54296875" style="46" customWidth="1"/>
    <col min="7" max="7" width="11.81640625" style="46" customWidth="1"/>
    <col min="8" max="8" width="27.1796875" style="47" customWidth="1"/>
    <col min="9" max="9" width="20.1796875" style="47" customWidth="1"/>
    <col min="10" max="10" width="21.81640625" style="46" customWidth="1"/>
    <col min="11" max="11" width="20.453125" style="46" customWidth="1"/>
    <col min="12" max="12" width="9" style="46" hidden="1" customWidth="1"/>
    <col min="13" max="13" width="18" style="46" hidden="1" customWidth="1"/>
    <col min="14" max="14" width="32.1796875" style="46" hidden="1" customWidth="1"/>
    <col min="15" max="15" width="9" style="46" hidden="1" customWidth="1"/>
    <col min="16" max="246" width="9" style="46" customWidth="1"/>
    <col min="247" max="16384" width="9" style="48"/>
  </cols>
  <sheetData>
    <row r="1" spans="1:21" x14ac:dyDescent="0.5">
      <c r="A1" s="49"/>
      <c r="B1" s="49"/>
      <c r="C1" s="49"/>
      <c r="D1" s="49"/>
      <c r="E1" s="49"/>
      <c r="F1" s="49"/>
      <c r="G1" s="49"/>
      <c r="H1" s="51"/>
      <c r="I1" s="51"/>
      <c r="J1" s="49"/>
      <c r="K1" s="49"/>
      <c r="L1" s="49"/>
      <c r="M1" s="49"/>
      <c r="N1" s="49"/>
      <c r="O1" s="49"/>
      <c r="P1" s="49"/>
    </row>
    <row r="2" spans="1:21" s="52" customFormat="1" x14ac:dyDescent="0.5">
      <c r="A2" s="79" t="s">
        <v>58</v>
      </c>
      <c r="B2" s="50" t="s">
        <v>106</v>
      </c>
      <c r="C2" s="50" t="s">
        <v>27</v>
      </c>
      <c r="D2" s="87" t="s">
        <v>121</v>
      </c>
      <c r="E2" s="87" t="s">
        <v>28</v>
      </c>
      <c r="F2" s="50" t="s">
        <v>29</v>
      </c>
      <c r="G2" s="50" t="s">
        <v>30</v>
      </c>
      <c r="H2" s="53" t="s">
        <v>107</v>
      </c>
      <c r="I2" s="53" t="s">
        <v>108</v>
      </c>
      <c r="J2" s="87" t="s">
        <v>109</v>
      </c>
      <c r="K2" s="87" t="s">
        <v>110</v>
      </c>
      <c r="L2" s="50" t="s">
        <v>25</v>
      </c>
      <c r="M2" s="50" t="s">
        <v>53</v>
      </c>
      <c r="N2" s="50" t="s">
        <v>66</v>
      </c>
      <c r="O2" s="50" t="s">
        <v>52</v>
      </c>
      <c r="P2" s="53"/>
      <c r="Q2" s="54"/>
      <c r="R2" s="54"/>
      <c r="S2" s="54"/>
    </row>
    <row r="3" spans="1:21" s="46" customFormat="1" x14ac:dyDescent="0.5">
      <c r="A3" s="80" t="s">
        <v>78</v>
      </c>
      <c r="B3" s="49">
        <v>1</v>
      </c>
      <c r="C3" s="55">
        <v>46023</v>
      </c>
      <c r="D3" s="49">
        <v>227</v>
      </c>
      <c r="E3" s="49">
        <v>1280</v>
      </c>
      <c r="F3" s="49">
        <f>E3-D3</f>
        <v>1053</v>
      </c>
      <c r="G3" s="49">
        <v>100</v>
      </c>
      <c r="H3" s="51">
        <f t="shared" ref="H3:H32" si="0">F3*G3</f>
        <v>105300</v>
      </c>
      <c r="I3" s="51">
        <v>0</v>
      </c>
      <c r="J3" s="85">
        <v>0</v>
      </c>
      <c r="K3" s="88">
        <f>H3+I3+J3</f>
        <v>105300</v>
      </c>
      <c r="L3" s="51">
        <v>0</v>
      </c>
      <c r="M3" s="51" t="e">
        <f>#REF!-L3</f>
        <v>#REF!</v>
      </c>
      <c r="N3" s="51"/>
      <c r="O3" s="49"/>
      <c r="P3" s="51"/>
      <c r="Q3" s="47"/>
      <c r="R3" s="47"/>
      <c r="S3" s="47"/>
    </row>
    <row r="4" spans="1:21" x14ac:dyDescent="0.5">
      <c r="A4" s="80" t="s">
        <v>79</v>
      </c>
      <c r="B4" s="49">
        <v>2</v>
      </c>
      <c r="C4" s="55">
        <v>46023</v>
      </c>
      <c r="D4" s="49">
        <v>15801</v>
      </c>
      <c r="E4" s="49">
        <v>16894</v>
      </c>
      <c r="F4" s="49">
        <f t="shared" ref="F4:F32" si="1">E4-D4</f>
        <v>1093</v>
      </c>
      <c r="G4" s="49">
        <v>100</v>
      </c>
      <c r="H4" s="51">
        <f t="shared" si="0"/>
        <v>109300</v>
      </c>
      <c r="I4" s="51">
        <v>0</v>
      </c>
      <c r="J4" s="85">
        <v>0</v>
      </c>
      <c r="K4" s="88">
        <f t="shared" ref="K4:K32" si="2">H4+I4+J4</f>
        <v>109300</v>
      </c>
      <c r="L4" s="51">
        <v>0</v>
      </c>
      <c r="M4" s="51" t="e">
        <f>#REF!-L4</f>
        <v>#REF!</v>
      </c>
      <c r="N4" s="51"/>
      <c r="O4" s="49"/>
      <c r="P4" s="51"/>
      <c r="Q4" s="47"/>
      <c r="R4" s="47"/>
      <c r="S4" s="47"/>
    </row>
    <row r="5" spans="1:21" s="46" customFormat="1" x14ac:dyDescent="0.5">
      <c r="A5" s="80" t="s">
        <v>80</v>
      </c>
      <c r="B5" s="49">
        <v>3</v>
      </c>
      <c r="C5" s="55">
        <f t="shared" ref="C5:C32" si="3">SUM(C4)</f>
        <v>46023</v>
      </c>
      <c r="D5" s="49">
        <v>11651</v>
      </c>
      <c r="E5" s="49">
        <v>12600</v>
      </c>
      <c r="F5" s="49">
        <f t="shared" si="1"/>
        <v>949</v>
      </c>
      <c r="G5" s="49">
        <v>100</v>
      </c>
      <c r="H5" s="51">
        <f t="shared" si="0"/>
        <v>94900</v>
      </c>
      <c r="I5" s="51">
        <v>0</v>
      </c>
      <c r="J5" s="85">
        <v>0</v>
      </c>
      <c r="K5" s="88">
        <f t="shared" si="2"/>
        <v>94900</v>
      </c>
      <c r="L5" s="51">
        <v>0</v>
      </c>
      <c r="M5" s="51" t="e">
        <f>#REF!-L5</f>
        <v>#REF!</v>
      </c>
      <c r="N5" s="51"/>
      <c r="O5" s="49"/>
      <c r="P5" s="51"/>
      <c r="Q5" s="47"/>
      <c r="R5" s="47"/>
      <c r="S5" s="47"/>
    </row>
    <row r="6" spans="1:21" x14ac:dyDescent="0.5">
      <c r="A6" s="80" t="s">
        <v>81</v>
      </c>
      <c r="B6" s="49">
        <v>4</v>
      </c>
      <c r="C6" s="55">
        <f t="shared" si="3"/>
        <v>46023</v>
      </c>
      <c r="D6" s="49">
        <v>9968</v>
      </c>
      <c r="E6" s="49">
        <v>9968</v>
      </c>
      <c r="F6" s="49">
        <f t="shared" si="1"/>
        <v>0</v>
      </c>
      <c r="G6" s="49">
        <v>100</v>
      </c>
      <c r="H6" s="51">
        <f>F6*G6</f>
        <v>0</v>
      </c>
      <c r="I6" s="51">
        <v>0</v>
      </c>
      <c r="J6" s="85">
        <v>0</v>
      </c>
      <c r="K6" s="88">
        <f t="shared" si="2"/>
        <v>0</v>
      </c>
      <c r="L6" s="51">
        <v>0</v>
      </c>
      <c r="M6" s="51" t="e">
        <f>#REF!-L6</f>
        <v>#REF!</v>
      </c>
      <c r="N6" s="51"/>
      <c r="O6" s="49"/>
      <c r="P6" s="51"/>
      <c r="Q6" s="47"/>
      <c r="R6" s="47"/>
      <c r="S6" s="47"/>
    </row>
    <row r="7" spans="1:21" s="57" customFormat="1" x14ac:dyDescent="0.5">
      <c r="A7" s="80" t="s">
        <v>82</v>
      </c>
      <c r="B7" s="49">
        <v>5</v>
      </c>
      <c r="C7" s="55">
        <f t="shared" si="3"/>
        <v>46023</v>
      </c>
      <c r="D7" s="49">
        <v>6881</v>
      </c>
      <c r="E7" s="49"/>
      <c r="F7" s="49">
        <f t="shared" si="1"/>
        <v>-6881</v>
      </c>
      <c r="G7" s="49">
        <v>100</v>
      </c>
      <c r="H7" s="51">
        <f t="shared" si="0"/>
        <v>-688100</v>
      </c>
      <c r="I7" s="51">
        <v>0</v>
      </c>
      <c r="J7" s="85">
        <v>0</v>
      </c>
      <c r="K7" s="88">
        <f t="shared" si="2"/>
        <v>-688100</v>
      </c>
      <c r="L7" s="51">
        <v>0</v>
      </c>
      <c r="M7" s="51" t="e">
        <f>#REF!-L7</f>
        <v>#REF!</v>
      </c>
      <c r="N7" s="51"/>
      <c r="O7" s="49"/>
      <c r="P7" s="49"/>
    </row>
    <row r="8" spans="1:21" x14ac:dyDescent="0.5">
      <c r="A8" s="80" t="s">
        <v>83</v>
      </c>
      <c r="B8" s="49">
        <v>6</v>
      </c>
      <c r="C8" s="55">
        <f t="shared" si="3"/>
        <v>46023</v>
      </c>
      <c r="D8" s="49">
        <v>4256</v>
      </c>
      <c r="E8" s="49">
        <v>4256</v>
      </c>
      <c r="F8" s="49">
        <f t="shared" si="1"/>
        <v>0</v>
      </c>
      <c r="G8" s="49">
        <v>100</v>
      </c>
      <c r="H8" s="51">
        <f t="shared" si="0"/>
        <v>0</v>
      </c>
      <c r="I8" s="51">
        <v>0</v>
      </c>
      <c r="J8" s="85">
        <v>0</v>
      </c>
      <c r="K8" s="88">
        <f t="shared" si="2"/>
        <v>0</v>
      </c>
      <c r="L8" s="51">
        <v>0</v>
      </c>
      <c r="M8" s="51" t="e">
        <f>#REF!-L8</f>
        <v>#REF!</v>
      </c>
      <c r="N8" s="51"/>
      <c r="O8" s="49"/>
      <c r="P8" s="53"/>
      <c r="Q8" s="54"/>
      <c r="R8" s="54"/>
      <c r="S8" s="54"/>
      <c r="T8" s="58"/>
      <c r="U8" s="58"/>
    </row>
    <row r="9" spans="1:21" x14ac:dyDescent="0.5">
      <c r="A9" s="80" t="s">
        <v>84</v>
      </c>
      <c r="B9" s="49">
        <v>7</v>
      </c>
      <c r="C9" s="55">
        <f t="shared" si="3"/>
        <v>46023</v>
      </c>
      <c r="D9" s="49">
        <v>1099</v>
      </c>
      <c r="E9" s="49">
        <v>1099</v>
      </c>
      <c r="F9" s="49">
        <f t="shared" si="1"/>
        <v>0</v>
      </c>
      <c r="G9" s="49">
        <v>100</v>
      </c>
      <c r="H9" s="51">
        <f t="shared" si="0"/>
        <v>0</v>
      </c>
      <c r="I9" s="51">
        <v>0</v>
      </c>
      <c r="J9" s="85">
        <v>0</v>
      </c>
      <c r="K9" s="88">
        <f t="shared" si="2"/>
        <v>0</v>
      </c>
      <c r="L9" s="51">
        <v>0</v>
      </c>
      <c r="M9" s="51" t="e">
        <f>#REF!-L9</f>
        <v>#REF!</v>
      </c>
      <c r="N9" s="51"/>
      <c r="O9" s="49"/>
      <c r="P9" s="49"/>
    </row>
    <row r="10" spans="1:21" x14ac:dyDescent="0.5">
      <c r="A10" s="80" t="s">
        <v>85</v>
      </c>
      <c r="B10" s="49">
        <v>8</v>
      </c>
      <c r="C10" s="55">
        <f t="shared" si="3"/>
        <v>46023</v>
      </c>
      <c r="D10" s="49">
        <v>4205</v>
      </c>
      <c r="E10" s="49">
        <v>4205</v>
      </c>
      <c r="F10" s="49">
        <f t="shared" si="1"/>
        <v>0</v>
      </c>
      <c r="G10" s="49">
        <v>100</v>
      </c>
      <c r="H10" s="51">
        <f t="shared" si="0"/>
        <v>0</v>
      </c>
      <c r="I10" s="51">
        <v>0</v>
      </c>
      <c r="J10" s="85">
        <v>0</v>
      </c>
      <c r="K10" s="88">
        <f t="shared" si="2"/>
        <v>0</v>
      </c>
      <c r="L10" s="51">
        <v>0</v>
      </c>
      <c r="M10" s="51" t="e">
        <f>#REF!-L10</f>
        <v>#REF!</v>
      </c>
      <c r="N10" s="51"/>
      <c r="O10" s="49"/>
      <c r="P10" s="49"/>
    </row>
    <row r="11" spans="1:21" x14ac:dyDescent="0.5">
      <c r="A11" s="80" t="s">
        <v>86</v>
      </c>
      <c r="B11" s="49">
        <v>9</v>
      </c>
      <c r="C11" s="55">
        <f t="shared" si="3"/>
        <v>46023</v>
      </c>
      <c r="D11" s="49">
        <v>56</v>
      </c>
      <c r="E11" s="49">
        <v>56</v>
      </c>
      <c r="F11" s="49">
        <f t="shared" si="1"/>
        <v>0</v>
      </c>
      <c r="G11" s="49">
        <v>100</v>
      </c>
      <c r="H11" s="51">
        <f t="shared" si="0"/>
        <v>0</v>
      </c>
      <c r="I11" s="51">
        <v>0</v>
      </c>
      <c r="J11" s="85">
        <v>0</v>
      </c>
      <c r="K11" s="88">
        <f t="shared" si="2"/>
        <v>0</v>
      </c>
      <c r="L11" s="51">
        <v>0</v>
      </c>
      <c r="M11" s="51" t="e">
        <f>#REF!-L11</f>
        <v>#REF!</v>
      </c>
      <c r="N11" s="51"/>
      <c r="O11" s="49"/>
      <c r="P11" s="49"/>
    </row>
    <row r="12" spans="1:21" s="46" customFormat="1" x14ac:dyDescent="0.5">
      <c r="A12" s="80" t="s">
        <v>87</v>
      </c>
      <c r="B12" s="49">
        <v>10</v>
      </c>
      <c r="C12" s="55">
        <f t="shared" si="3"/>
        <v>46023</v>
      </c>
      <c r="D12" s="49">
        <v>1808</v>
      </c>
      <c r="E12" s="49"/>
      <c r="F12" s="49">
        <f t="shared" si="1"/>
        <v>-1808</v>
      </c>
      <c r="G12" s="49">
        <v>100</v>
      </c>
      <c r="H12" s="51">
        <f t="shared" si="0"/>
        <v>-180800</v>
      </c>
      <c r="I12" s="51">
        <v>0</v>
      </c>
      <c r="J12" s="85">
        <v>0</v>
      </c>
      <c r="K12" s="88">
        <f t="shared" si="2"/>
        <v>-180800</v>
      </c>
      <c r="L12" s="51">
        <v>0</v>
      </c>
      <c r="M12" s="51" t="e">
        <f>#REF!-L12</f>
        <v>#REF!</v>
      </c>
      <c r="N12" s="51"/>
      <c r="O12" s="49"/>
      <c r="P12" s="49"/>
    </row>
    <row r="13" spans="1:21" x14ac:dyDescent="0.5">
      <c r="A13" s="80" t="s">
        <v>88</v>
      </c>
      <c r="B13" s="49">
        <v>11</v>
      </c>
      <c r="C13" s="55">
        <f t="shared" si="3"/>
        <v>46023</v>
      </c>
      <c r="D13" s="49">
        <v>2728</v>
      </c>
      <c r="E13" s="49">
        <v>2773</v>
      </c>
      <c r="F13" s="49">
        <f t="shared" si="1"/>
        <v>45</v>
      </c>
      <c r="G13" s="49">
        <v>100</v>
      </c>
      <c r="H13" s="51">
        <f t="shared" si="0"/>
        <v>4500</v>
      </c>
      <c r="I13" s="51">
        <v>0</v>
      </c>
      <c r="J13" s="85">
        <v>0</v>
      </c>
      <c r="K13" s="88">
        <f t="shared" si="2"/>
        <v>4500</v>
      </c>
      <c r="L13" s="51">
        <v>0</v>
      </c>
      <c r="M13" s="51" t="e">
        <f>#REF!-L13</f>
        <v>#REF!</v>
      </c>
      <c r="N13" s="51"/>
      <c r="O13" s="49"/>
      <c r="P13" s="49"/>
    </row>
    <row r="14" spans="1:21" s="46" customFormat="1" x14ac:dyDescent="0.5">
      <c r="A14" s="80" t="s">
        <v>89</v>
      </c>
      <c r="B14" s="49">
        <v>12</v>
      </c>
      <c r="C14" s="55">
        <f t="shared" si="3"/>
        <v>46023</v>
      </c>
      <c r="D14" s="49">
        <v>918</v>
      </c>
      <c r="E14" s="49">
        <v>938</v>
      </c>
      <c r="F14" s="49">
        <f t="shared" si="1"/>
        <v>20</v>
      </c>
      <c r="G14" s="49">
        <v>100</v>
      </c>
      <c r="H14" s="51">
        <f t="shared" si="0"/>
        <v>2000</v>
      </c>
      <c r="I14" s="51">
        <v>0</v>
      </c>
      <c r="J14" s="85">
        <v>2500</v>
      </c>
      <c r="K14" s="88">
        <f t="shared" si="2"/>
        <v>4500</v>
      </c>
      <c r="L14" s="51">
        <v>0</v>
      </c>
      <c r="M14" s="51" t="e">
        <f>#REF!-L14</f>
        <v>#REF!</v>
      </c>
      <c r="N14" s="51"/>
      <c r="O14" s="49"/>
      <c r="P14" s="49"/>
    </row>
    <row r="15" spans="1:21" s="57" customFormat="1" x14ac:dyDescent="0.5">
      <c r="A15" s="80" t="s">
        <v>90</v>
      </c>
      <c r="B15" s="49">
        <v>13</v>
      </c>
      <c r="C15" s="55">
        <f t="shared" si="3"/>
        <v>46023</v>
      </c>
      <c r="D15" s="49">
        <v>67</v>
      </c>
      <c r="E15" s="49">
        <v>72</v>
      </c>
      <c r="F15" s="49">
        <f t="shared" si="1"/>
        <v>5</v>
      </c>
      <c r="G15" s="49">
        <v>100</v>
      </c>
      <c r="H15" s="51">
        <f t="shared" si="0"/>
        <v>500</v>
      </c>
      <c r="I15" s="51">
        <v>0</v>
      </c>
      <c r="J15" s="85">
        <v>0</v>
      </c>
      <c r="K15" s="88">
        <f t="shared" si="2"/>
        <v>500</v>
      </c>
      <c r="L15" s="51">
        <v>0</v>
      </c>
      <c r="M15" s="51" t="e">
        <f>#REF!-L15</f>
        <v>#REF!</v>
      </c>
      <c r="N15" s="51"/>
      <c r="O15" s="49"/>
      <c r="P15" s="49"/>
    </row>
    <row r="16" spans="1:21" s="46" customFormat="1" x14ac:dyDescent="0.5">
      <c r="A16" s="80" t="s">
        <v>91</v>
      </c>
      <c r="B16" s="49">
        <v>14</v>
      </c>
      <c r="C16" s="55">
        <f t="shared" si="3"/>
        <v>46023</v>
      </c>
      <c r="D16" s="49">
        <v>235</v>
      </c>
      <c r="E16" s="49">
        <v>254</v>
      </c>
      <c r="F16" s="49">
        <f t="shared" si="1"/>
        <v>19</v>
      </c>
      <c r="G16" s="49">
        <v>100</v>
      </c>
      <c r="H16" s="51">
        <f t="shared" si="0"/>
        <v>1900</v>
      </c>
      <c r="I16" s="51">
        <v>0</v>
      </c>
      <c r="J16" s="85">
        <v>0</v>
      </c>
      <c r="K16" s="88">
        <f t="shared" si="2"/>
        <v>1900</v>
      </c>
      <c r="L16" s="51">
        <v>0</v>
      </c>
      <c r="M16" s="51" t="e">
        <f>#REF!-L16</f>
        <v>#REF!</v>
      </c>
      <c r="N16" s="51"/>
      <c r="O16" s="49"/>
      <c r="P16" s="49"/>
    </row>
    <row r="17" spans="1:16" x14ac:dyDescent="0.5">
      <c r="A17" s="80" t="s">
        <v>92</v>
      </c>
      <c r="B17" s="49">
        <v>15</v>
      </c>
      <c r="C17" s="55">
        <f>SUM(C16)</f>
        <v>46023</v>
      </c>
      <c r="D17" s="49">
        <v>152</v>
      </c>
      <c r="E17" s="49"/>
      <c r="F17" s="49">
        <f t="shared" si="1"/>
        <v>-152</v>
      </c>
      <c r="G17" s="49">
        <v>100</v>
      </c>
      <c r="H17" s="51">
        <f t="shared" si="0"/>
        <v>-15200</v>
      </c>
      <c r="I17" s="51">
        <v>0</v>
      </c>
      <c r="J17" s="85">
        <v>0</v>
      </c>
      <c r="K17" s="88">
        <f t="shared" si="2"/>
        <v>-15200</v>
      </c>
      <c r="L17" s="51">
        <v>0</v>
      </c>
      <c r="M17" s="51" t="e">
        <f>#REF!-L17</f>
        <v>#REF!</v>
      </c>
      <c r="N17" s="51"/>
      <c r="O17" s="49"/>
      <c r="P17" s="49"/>
    </row>
    <row r="18" spans="1:16" x14ac:dyDescent="0.5">
      <c r="A18" s="81" t="s">
        <v>93</v>
      </c>
      <c r="B18" s="49">
        <v>16</v>
      </c>
      <c r="C18" s="55">
        <f t="shared" si="3"/>
        <v>46023</v>
      </c>
      <c r="D18" s="49">
        <v>33</v>
      </c>
      <c r="E18" s="49">
        <v>41</v>
      </c>
      <c r="F18" s="49">
        <f t="shared" si="1"/>
        <v>8</v>
      </c>
      <c r="G18" s="49">
        <v>100</v>
      </c>
      <c r="H18" s="51">
        <f t="shared" si="0"/>
        <v>800</v>
      </c>
      <c r="I18" s="51">
        <v>0</v>
      </c>
      <c r="J18" s="85">
        <v>0</v>
      </c>
      <c r="K18" s="88">
        <f t="shared" si="2"/>
        <v>800</v>
      </c>
      <c r="L18" s="51">
        <v>0</v>
      </c>
      <c r="M18" s="51" t="e">
        <f>#REF!-L18</f>
        <v>#REF!</v>
      </c>
      <c r="N18" s="51"/>
      <c r="O18" s="49"/>
      <c r="P18" s="49"/>
    </row>
    <row r="19" spans="1:16" x14ac:dyDescent="0.5">
      <c r="A19" s="80" t="s">
        <v>94</v>
      </c>
      <c r="B19" s="49">
        <v>17</v>
      </c>
      <c r="C19" s="55">
        <f t="shared" si="3"/>
        <v>46023</v>
      </c>
      <c r="D19" s="49">
        <v>14</v>
      </c>
      <c r="E19" s="49">
        <v>14</v>
      </c>
      <c r="F19" s="49">
        <f t="shared" si="1"/>
        <v>0</v>
      </c>
      <c r="G19" s="49">
        <v>100</v>
      </c>
      <c r="H19" s="51">
        <f t="shared" si="0"/>
        <v>0</v>
      </c>
      <c r="I19" s="51">
        <v>0</v>
      </c>
      <c r="J19" s="85">
        <v>0</v>
      </c>
      <c r="K19" s="88">
        <f t="shared" si="2"/>
        <v>0</v>
      </c>
      <c r="L19" s="51">
        <v>0</v>
      </c>
      <c r="M19" s="51" t="e">
        <f>#REF!-L19</f>
        <v>#REF!</v>
      </c>
      <c r="N19" s="51"/>
      <c r="O19" s="49"/>
      <c r="P19" s="49"/>
    </row>
    <row r="20" spans="1:16" x14ac:dyDescent="0.5">
      <c r="A20" s="80" t="s">
        <v>95</v>
      </c>
      <c r="B20" s="49">
        <v>18</v>
      </c>
      <c r="C20" s="55">
        <f t="shared" si="3"/>
        <v>46023</v>
      </c>
      <c r="D20" s="49">
        <v>289</v>
      </c>
      <c r="E20" s="49"/>
      <c r="F20" s="49">
        <f t="shared" si="1"/>
        <v>-289</v>
      </c>
      <c r="G20" s="49">
        <v>100</v>
      </c>
      <c r="H20" s="51">
        <f t="shared" si="0"/>
        <v>-28900</v>
      </c>
      <c r="I20" s="51">
        <v>0</v>
      </c>
      <c r="J20" s="85">
        <v>0</v>
      </c>
      <c r="K20" s="88">
        <f t="shared" si="2"/>
        <v>-28900</v>
      </c>
      <c r="L20" s="51">
        <v>0</v>
      </c>
      <c r="M20" s="51" t="e">
        <f>#REF!-L20</f>
        <v>#REF!</v>
      </c>
      <c r="N20" s="51"/>
      <c r="O20" s="49"/>
      <c r="P20" s="56"/>
    </row>
    <row r="21" spans="1:16" x14ac:dyDescent="0.5">
      <c r="A21" s="80" t="s">
        <v>96</v>
      </c>
      <c r="B21" s="49">
        <v>19</v>
      </c>
      <c r="C21" s="55">
        <f t="shared" si="3"/>
        <v>46023</v>
      </c>
      <c r="D21" s="49">
        <v>300</v>
      </c>
      <c r="E21" s="49"/>
      <c r="F21" s="49">
        <f t="shared" si="1"/>
        <v>-300</v>
      </c>
      <c r="G21" s="49">
        <v>100</v>
      </c>
      <c r="H21" s="51">
        <f t="shared" si="0"/>
        <v>-30000</v>
      </c>
      <c r="I21" s="51">
        <v>0</v>
      </c>
      <c r="J21" s="85">
        <v>0</v>
      </c>
      <c r="K21" s="88">
        <f t="shared" si="2"/>
        <v>-30000</v>
      </c>
      <c r="L21" s="51">
        <v>0</v>
      </c>
      <c r="M21" s="51" t="e">
        <f>#REF!-L21</f>
        <v>#REF!</v>
      </c>
      <c r="N21" s="51"/>
      <c r="O21" s="49"/>
      <c r="P21" s="49"/>
    </row>
    <row r="22" spans="1:16" x14ac:dyDescent="0.5">
      <c r="A22" s="80" t="s">
        <v>97</v>
      </c>
      <c r="B22" s="49">
        <v>20</v>
      </c>
      <c r="C22" s="55">
        <f t="shared" si="3"/>
        <v>46023</v>
      </c>
      <c r="D22" s="49">
        <v>264</v>
      </c>
      <c r="E22" s="49">
        <v>278</v>
      </c>
      <c r="F22" s="49">
        <f t="shared" si="1"/>
        <v>14</v>
      </c>
      <c r="G22" s="49">
        <v>100</v>
      </c>
      <c r="H22" s="51">
        <f t="shared" si="0"/>
        <v>1400</v>
      </c>
      <c r="I22" s="51">
        <v>0</v>
      </c>
      <c r="J22" s="85">
        <v>0</v>
      </c>
      <c r="K22" s="88">
        <f t="shared" si="2"/>
        <v>1400</v>
      </c>
      <c r="L22" s="51">
        <v>0</v>
      </c>
      <c r="M22" s="51" t="e">
        <f>#REF!-L22</f>
        <v>#REF!</v>
      </c>
      <c r="N22" s="51"/>
      <c r="O22" s="49"/>
      <c r="P22" s="49"/>
    </row>
    <row r="23" spans="1:16" x14ac:dyDescent="0.5">
      <c r="A23" s="80" t="s">
        <v>98</v>
      </c>
      <c r="B23" s="49">
        <v>21</v>
      </c>
      <c r="C23" s="55">
        <f t="shared" si="3"/>
        <v>46023</v>
      </c>
      <c r="D23" s="49">
        <v>1164</v>
      </c>
      <c r="E23" s="49">
        <v>1184</v>
      </c>
      <c r="F23" s="49">
        <f t="shared" si="1"/>
        <v>20</v>
      </c>
      <c r="G23" s="49">
        <v>100</v>
      </c>
      <c r="H23" s="51">
        <f t="shared" si="0"/>
        <v>2000</v>
      </c>
      <c r="I23" s="51">
        <v>0</v>
      </c>
      <c r="J23" s="85"/>
      <c r="K23" s="88">
        <f t="shared" si="2"/>
        <v>2000</v>
      </c>
      <c r="L23" s="51">
        <v>0</v>
      </c>
      <c r="M23" s="51" t="e">
        <f>#REF!-L23</f>
        <v>#REF!</v>
      </c>
      <c r="N23" s="51"/>
      <c r="O23" s="49"/>
      <c r="P23" s="49"/>
    </row>
    <row r="24" spans="1:16" x14ac:dyDescent="0.5">
      <c r="A24" s="82" t="s">
        <v>99</v>
      </c>
      <c r="B24" s="49">
        <v>22</v>
      </c>
      <c r="C24" s="55">
        <f t="shared" si="3"/>
        <v>46023</v>
      </c>
      <c r="D24" s="49">
        <v>820</v>
      </c>
      <c r="E24" s="49">
        <v>836</v>
      </c>
      <c r="F24" s="49">
        <f t="shared" si="1"/>
        <v>16</v>
      </c>
      <c r="G24" s="49">
        <v>100</v>
      </c>
      <c r="H24" s="51">
        <f t="shared" si="0"/>
        <v>1600</v>
      </c>
      <c r="I24" s="51">
        <v>0</v>
      </c>
      <c r="J24" s="85">
        <v>0</v>
      </c>
      <c r="K24" s="88">
        <f t="shared" si="2"/>
        <v>1600</v>
      </c>
      <c r="L24" s="51">
        <v>0</v>
      </c>
      <c r="M24" s="51" t="e">
        <f>#REF!-L24</f>
        <v>#REF!</v>
      </c>
      <c r="N24" s="51"/>
      <c r="O24" s="49"/>
      <c r="P24" s="49"/>
    </row>
    <row r="25" spans="1:16" s="46" customFormat="1" x14ac:dyDescent="0.5">
      <c r="A25" s="80" t="s">
        <v>100</v>
      </c>
      <c r="B25" s="49">
        <v>23</v>
      </c>
      <c r="C25" s="55">
        <f t="shared" si="3"/>
        <v>46023</v>
      </c>
      <c r="D25" s="49">
        <v>724</v>
      </c>
      <c r="E25" s="49">
        <v>796</v>
      </c>
      <c r="F25" s="49">
        <f t="shared" si="1"/>
        <v>72</v>
      </c>
      <c r="G25" s="49">
        <v>100</v>
      </c>
      <c r="H25" s="51">
        <f t="shared" si="0"/>
        <v>7200</v>
      </c>
      <c r="I25" s="51">
        <v>0</v>
      </c>
      <c r="J25" s="85">
        <v>3400</v>
      </c>
      <c r="K25" s="88">
        <f t="shared" si="2"/>
        <v>10600</v>
      </c>
      <c r="L25" s="51">
        <v>0</v>
      </c>
      <c r="M25" s="51" t="e">
        <f>#REF!-L25</f>
        <v>#REF!</v>
      </c>
      <c r="N25" s="51"/>
      <c r="O25" s="49"/>
      <c r="P25" s="49"/>
    </row>
    <row r="26" spans="1:16" s="46" customFormat="1" x14ac:dyDescent="0.5">
      <c r="A26" s="80" t="s">
        <v>101</v>
      </c>
      <c r="B26" s="49">
        <v>24</v>
      </c>
      <c r="C26" s="55">
        <f t="shared" si="3"/>
        <v>46023</v>
      </c>
      <c r="D26" s="49">
        <v>155</v>
      </c>
      <c r="E26" s="49">
        <v>159</v>
      </c>
      <c r="F26" s="49">
        <f t="shared" si="1"/>
        <v>4</v>
      </c>
      <c r="G26" s="49">
        <v>100</v>
      </c>
      <c r="H26" s="51">
        <f t="shared" si="0"/>
        <v>400</v>
      </c>
      <c r="I26" s="51">
        <v>0</v>
      </c>
      <c r="J26" s="85">
        <v>0</v>
      </c>
      <c r="K26" s="88">
        <f t="shared" si="2"/>
        <v>400</v>
      </c>
      <c r="L26" s="51">
        <v>0</v>
      </c>
      <c r="M26" s="51" t="e">
        <f>#REF!-L26</f>
        <v>#REF!</v>
      </c>
      <c r="N26" s="51"/>
      <c r="O26" s="49"/>
      <c r="P26" s="49"/>
    </row>
    <row r="27" spans="1:16" s="46" customFormat="1" x14ac:dyDescent="0.5">
      <c r="A27" s="80" t="s">
        <v>102</v>
      </c>
      <c r="B27" s="49">
        <v>25</v>
      </c>
      <c r="C27" s="55">
        <f t="shared" si="3"/>
        <v>46023</v>
      </c>
      <c r="D27" s="49">
        <v>217</v>
      </c>
      <c r="E27" s="49">
        <v>223</v>
      </c>
      <c r="F27" s="49">
        <f t="shared" si="1"/>
        <v>6</v>
      </c>
      <c r="G27" s="49">
        <v>100</v>
      </c>
      <c r="H27" s="51">
        <f t="shared" si="0"/>
        <v>600</v>
      </c>
      <c r="I27" s="51">
        <v>0</v>
      </c>
      <c r="J27" s="85">
        <v>0</v>
      </c>
      <c r="K27" s="88">
        <f t="shared" si="2"/>
        <v>600</v>
      </c>
      <c r="L27" s="51">
        <v>0</v>
      </c>
      <c r="M27" s="51" t="e">
        <f>#REF!-L27</f>
        <v>#REF!</v>
      </c>
      <c r="N27" s="51"/>
      <c r="O27" s="49"/>
      <c r="P27" s="49"/>
    </row>
    <row r="28" spans="1:16" s="46" customFormat="1" x14ac:dyDescent="0.5">
      <c r="A28" s="80" t="s">
        <v>103</v>
      </c>
      <c r="B28" s="49">
        <v>26</v>
      </c>
      <c r="C28" s="55">
        <f t="shared" si="3"/>
        <v>46023</v>
      </c>
      <c r="D28" s="49">
        <v>302</v>
      </c>
      <c r="E28" s="49"/>
      <c r="F28" s="49">
        <f t="shared" si="1"/>
        <v>-302</v>
      </c>
      <c r="G28" s="49">
        <v>100</v>
      </c>
      <c r="H28" s="51">
        <f t="shared" si="0"/>
        <v>-30200</v>
      </c>
      <c r="I28" s="51">
        <v>0</v>
      </c>
      <c r="J28" s="85">
        <v>0</v>
      </c>
      <c r="K28" s="88">
        <f t="shared" si="2"/>
        <v>-30200</v>
      </c>
      <c r="L28" s="51">
        <v>0</v>
      </c>
      <c r="M28" s="51" t="e">
        <f>#REF!-L28</f>
        <v>#REF!</v>
      </c>
      <c r="N28" s="51"/>
      <c r="O28" s="49"/>
      <c r="P28" s="49"/>
    </row>
    <row r="29" spans="1:16" s="46" customFormat="1" x14ac:dyDescent="0.5">
      <c r="A29" s="80" t="s">
        <v>104</v>
      </c>
      <c r="B29" s="49">
        <v>27</v>
      </c>
      <c r="C29" s="55">
        <f t="shared" si="3"/>
        <v>46023</v>
      </c>
      <c r="D29" s="49">
        <v>211</v>
      </c>
      <c r="E29" s="49">
        <v>214</v>
      </c>
      <c r="F29" s="49">
        <f t="shared" si="1"/>
        <v>3</v>
      </c>
      <c r="G29" s="49">
        <v>100</v>
      </c>
      <c r="H29" s="51">
        <f t="shared" si="0"/>
        <v>300</v>
      </c>
      <c r="I29" s="51">
        <v>0</v>
      </c>
      <c r="J29" s="85">
        <v>0</v>
      </c>
      <c r="K29" s="88">
        <f t="shared" si="2"/>
        <v>300</v>
      </c>
      <c r="L29" s="51">
        <v>0</v>
      </c>
      <c r="M29" s="51" t="e">
        <f>#REF!-L29</f>
        <v>#REF!</v>
      </c>
      <c r="N29" s="59" t="e">
        <f>#REF!*3%</f>
        <v>#REF!</v>
      </c>
      <c r="O29" s="49" t="s">
        <v>65</v>
      </c>
      <c r="P29" s="49"/>
    </row>
    <row r="30" spans="1:16" s="46" customFormat="1" x14ac:dyDescent="0.5">
      <c r="A30" s="80" t="s">
        <v>105</v>
      </c>
      <c r="B30" s="49">
        <v>28</v>
      </c>
      <c r="C30" s="55">
        <f t="shared" si="3"/>
        <v>46023</v>
      </c>
      <c r="D30" s="49">
        <v>117</v>
      </c>
      <c r="E30" s="49">
        <v>119</v>
      </c>
      <c r="F30" s="49">
        <f t="shared" si="1"/>
        <v>2</v>
      </c>
      <c r="G30" s="49">
        <v>100</v>
      </c>
      <c r="H30" s="51">
        <f t="shared" si="0"/>
        <v>200</v>
      </c>
      <c r="I30" s="51">
        <v>0</v>
      </c>
      <c r="J30" s="85">
        <v>3700</v>
      </c>
      <c r="K30" s="88">
        <f t="shared" si="2"/>
        <v>3900</v>
      </c>
      <c r="L30" s="51">
        <v>0</v>
      </c>
      <c r="M30" s="51" t="e">
        <f>#REF!-L30</f>
        <v>#REF!</v>
      </c>
      <c r="N30" s="51"/>
      <c r="O30" s="49"/>
      <c r="P30" s="49"/>
    </row>
    <row r="31" spans="1:16" x14ac:dyDescent="0.5">
      <c r="A31" s="80" t="s">
        <v>77</v>
      </c>
      <c r="B31" s="49">
        <v>29</v>
      </c>
      <c r="C31" s="55">
        <f t="shared" si="3"/>
        <v>46023</v>
      </c>
      <c r="D31" s="49">
        <v>155</v>
      </c>
      <c r="E31" s="49">
        <v>211</v>
      </c>
      <c r="F31" s="49">
        <f t="shared" si="1"/>
        <v>56</v>
      </c>
      <c r="G31" s="49">
        <v>100</v>
      </c>
      <c r="H31" s="51">
        <f t="shared" si="0"/>
        <v>5600</v>
      </c>
      <c r="I31" s="51">
        <v>0</v>
      </c>
      <c r="J31" s="85">
        <v>0</v>
      </c>
      <c r="K31" s="88">
        <f t="shared" si="2"/>
        <v>5600</v>
      </c>
      <c r="L31" s="51">
        <v>0</v>
      </c>
      <c r="M31" s="51" t="e">
        <f>#REF!-L31</f>
        <v>#REF!</v>
      </c>
      <c r="N31" s="51"/>
      <c r="O31" s="49"/>
      <c r="P31" s="49"/>
    </row>
    <row r="32" spans="1:16" x14ac:dyDescent="0.5">
      <c r="A32" s="83" t="s">
        <v>118</v>
      </c>
      <c r="B32" s="49">
        <v>30</v>
      </c>
      <c r="C32" s="55">
        <f t="shared" si="3"/>
        <v>46023</v>
      </c>
      <c r="D32" s="49">
        <v>95</v>
      </c>
      <c r="E32" s="49">
        <v>453</v>
      </c>
      <c r="F32" s="49">
        <f t="shared" si="1"/>
        <v>358</v>
      </c>
      <c r="G32" s="49">
        <v>100</v>
      </c>
      <c r="H32" s="51">
        <f t="shared" si="0"/>
        <v>35800</v>
      </c>
      <c r="I32" s="51">
        <v>0</v>
      </c>
      <c r="J32" s="85">
        <v>0</v>
      </c>
      <c r="K32" s="88">
        <f t="shared" si="2"/>
        <v>35800</v>
      </c>
      <c r="L32" s="51">
        <v>0</v>
      </c>
      <c r="M32" s="51" t="e">
        <f>#REF!-L32</f>
        <v>#REF!</v>
      </c>
      <c r="N32" s="51"/>
      <c r="O32" s="49"/>
      <c r="P32" s="49"/>
    </row>
    <row r="33" spans="1:246" x14ac:dyDescent="0.5">
      <c r="A33" s="84"/>
      <c r="B33" s="49"/>
      <c r="C33" s="55"/>
      <c r="D33" s="85"/>
      <c r="E33" s="85"/>
      <c r="F33" s="49"/>
      <c r="G33" s="49"/>
      <c r="H33" s="51"/>
      <c r="I33" s="51" t="s">
        <v>24</v>
      </c>
      <c r="J33" s="85">
        <f>SUM(J3:J32)</f>
        <v>9600</v>
      </c>
      <c r="K33" s="85"/>
      <c r="L33" s="51"/>
      <c r="M33" s="51"/>
      <c r="N33" s="51"/>
      <c r="O33" s="49"/>
      <c r="P33" s="49"/>
    </row>
    <row r="34" spans="1:246" x14ac:dyDescent="0.5">
      <c r="A34" s="85"/>
      <c r="B34" s="49"/>
      <c r="C34" s="55"/>
      <c r="D34" s="85"/>
      <c r="E34" s="85"/>
      <c r="F34" s="49"/>
      <c r="G34" s="49"/>
      <c r="H34" s="51"/>
      <c r="I34" s="51"/>
      <c r="J34" s="85"/>
      <c r="K34" s="85"/>
      <c r="L34" s="51"/>
      <c r="M34" s="51"/>
      <c r="N34" s="51"/>
      <c r="O34" s="49"/>
      <c r="P34" s="49"/>
    </row>
    <row r="35" spans="1:246" s="46" customFormat="1" x14ac:dyDescent="0.5">
      <c r="A35" s="84"/>
      <c r="B35" s="49"/>
      <c r="C35" s="55"/>
      <c r="D35" s="85"/>
      <c r="E35" s="85"/>
      <c r="F35" s="49"/>
      <c r="G35" s="49"/>
      <c r="H35" s="51"/>
      <c r="I35" s="51"/>
      <c r="J35" s="85"/>
      <c r="K35" s="85"/>
      <c r="L35" s="51"/>
      <c r="M35" s="51"/>
      <c r="N35" s="51"/>
      <c r="O35" s="49"/>
      <c r="P35" s="49"/>
    </row>
    <row r="36" spans="1:246" x14ac:dyDescent="0.5">
      <c r="A36" s="84"/>
      <c r="B36" s="49"/>
      <c r="C36" s="55"/>
      <c r="D36" s="85"/>
      <c r="E36" s="85"/>
      <c r="F36" s="49"/>
      <c r="G36" s="49"/>
      <c r="H36" s="51"/>
      <c r="I36" s="51"/>
      <c r="J36" s="85"/>
      <c r="K36" s="85"/>
      <c r="L36" s="51"/>
      <c r="M36" s="51"/>
      <c r="N36" s="51"/>
      <c r="O36" s="49"/>
      <c r="P36" s="49"/>
    </row>
    <row r="37" spans="1:246" x14ac:dyDescent="0.5">
      <c r="A37" s="85"/>
      <c r="B37" s="49"/>
      <c r="C37" s="55"/>
      <c r="D37" s="85"/>
      <c r="E37" s="85"/>
      <c r="F37" s="49"/>
      <c r="G37" s="49"/>
      <c r="H37" s="51"/>
      <c r="I37" s="51"/>
      <c r="J37" s="85"/>
      <c r="K37" s="85"/>
      <c r="L37" s="51"/>
      <c r="M37" s="51"/>
      <c r="N37" s="51"/>
      <c r="O37" s="49"/>
      <c r="P37" s="49"/>
    </row>
    <row r="38" spans="1:246" x14ac:dyDescent="0.5">
      <c r="A38" s="84"/>
      <c r="B38" s="49"/>
      <c r="C38" s="55"/>
      <c r="D38" s="85"/>
      <c r="E38" s="85"/>
      <c r="F38" s="49"/>
      <c r="G38" s="49"/>
      <c r="H38" s="51"/>
      <c r="I38" s="51"/>
      <c r="J38" s="85"/>
      <c r="K38" s="85"/>
      <c r="L38" s="51"/>
      <c r="M38" s="51"/>
      <c r="N38" s="51"/>
      <c r="O38" s="49"/>
      <c r="P38" s="49"/>
    </row>
    <row r="39" spans="1:246" s="52" customFormat="1" x14ac:dyDescent="0.5">
      <c r="A39" s="84"/>
      <c r="B39" s="49"/>
      <c r="C39" s="55"/>
      <c r="D39" s="85"/>
      <c r="E39" s="85"/>
      <c r="F39" s="53"/>
      <c r="G39" s="49"/>
      <c r="H39" s="53"/>
      <c r="I39" s="53"/>
      <c r="J39" s="85"/>
      <c r="K39" s="85"/>
      <c r="L39" s="53"/>
      <c r="M39" s="53"/>
      <c r="N39" s="53"/>
      <c r="O39" s="53"/>
      <c r="P39" s="50"/>
    </row>
    <row r="40" spans="1:246" x14ac:dyDescent="0.5">
      <c r="A40" s="84"/>
      <c r="B40" s="49"/>
      <c r="C40" s="49"/>
      <c r="D40" s="85"/>
      <c r="E40" s="85"/>
      <c r="F40" s="49"/>
      <c r="G40" s="49"/>
      <c r="H40" s="51"/>
      <c r="I40" s="51"/>
      <c r="J40" s="85"/>
      <c r="K40" s="85"/>
      <c r="L40" s="49"/>
      <c r="M40" s="49"/>
      <c r="N40" s="49"/>
      <c r="O40" s="49"/>
      <c r="P40" s="50"/>
    </row>
    <row r="41" spans="1:246" x14ac:dyDescent="0.5">
      <c r="A41" s="85"/>
      <c r="B41" s="49"/>
      <c r="C41" s="49"/>
      <c r="D41" s="85"/>
      <c r="E41" s="85"/>
      <c r="F41" s="49"/>
      <c r="G41" s="49"/>
      <c r="H41" s="51"/>
      <c r="I41" s="51"/>
      <c r="J41" s="85"/>
      <c r="K41" s="85"/>
      <c r="L41" s="49"/>
      <c r="M41" s="49"/>
      <c r="N41" s="49"/>
      <c r="O41" s="49"/>
      <c r="P41" s="49"/>
    </row>
    <row r="42" spans="1:246" x14ac:dyDescent="0.5">
      <c r="A42" s="85"/>
      <c r="B42" s="49"/>
      <c r="C42" s="49"/>
      <c r="D42" s="85"/>
      <c r="E42" s="85"/>
      <c r="F42" s="56"/>
      <c r="G42" s="49"/>
      <c r="H42" s="51"/>
      <c r="I42" s="51"/>
      <c r="J42" s="85"/>
      <c r="K42" s="85"/>
      <c r="L42" s="49"/>
      <c r="M42" s="49"/>
      <c r="N42" s="49"/>
      <c r="O42" s="49"/>
      <c r="P42" s="49"/>
    </row>
    <row r="43" spans="1:246" x14ac:dyDescent="0.5">
      <c r="A43" s="85"/>
      <c r="B43" s="49"/>
      <c r="C43" s="49"/>
      <c r="D43" s="85"/>
      <c r="E43" s="85"/>
      <c r="F43" s="49"/>
      <c r="G43" s="49"/>
      <c r="H43" s="51"/>
      <c r="I43" s="51"/>
      <c r="J43" s="85"/>
      <c r="K43" s="85"/>
      <c r="L43" s="49"/>
      <c r="M43" s="49"/>
      <c r="N43" s="49"/>
      <c r="O43" s="49"/>
      <c r="P43" s="49"/>
    </row>
    <row r="44" spans="1:246" s="68" customFormat="1" x14ac:dyDescent="0.5">
      <c r="A44" s="84"/>
      <c r="B44" s="69"/>
      <c r="C44" s="69"/>
      <c r="D44" s="85"/>
      <c r="E44" s="85"/>
      <c r="F44" s="69"/>
      <c r="G44" s="69"/>
      <c r="H44" s="71"/>
      <c r="I44" s="71"/>
      <c r="J44" s="85"/>
      <c r="K44" s="85"/>
      <c r="L44" s="69"/>
      <c r="M44" s="69"/>
      <c r="N44" s="69"/>
      <c r="O44" s="69"/>
      <c r="P44" s="69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72"/>
      <c r="CM44" s="72"/>
      <c r="CN44" s="72"/>
      <c r="CO44" s="72"/>
      <c r="CP44" s="72"/>
      <c r="CQ44" s="72"/>
      <c r="CR44" s="72"/>
      <c r="CS44" s="72"/>
      <c r="CT44" s="72"/>
      <c r="CU44" s="72"/>
      <c r="CV44" s="72"/>
      <c r="CW44" s="72"/>
      <c r="CX44" s="72"/>
      <c r="CY44" s="72"/>
      <c r="CZ44" s="72"/>
      <c r="DA44" s="72"/>
      <c r="DB44" s="72"/>
      <c r="DC44" s="72"/>
      <c r="DD44" s="72"/>
      <c r="DE44" s="72"/>
      <c r="DF44" s="72"/>
      <c r="DG44" s="72"/>
      <c r="DH44" s="72"/>
      <c r="DI44" s="72"/>
      <c r="DJ44" s="72"/>
      <c r="DK44" s="72"/>
      <c r="DL44" s="72"/>
      <c r="DM44" s="72"/>
      <c r="DN44" s="72"/>
      <c r="DO44" s="72"/>
      <c r="DP44" s="72"/>
      <c r="DQ44" s="72"/>
      <c r="DR44" s="72"/>
      <c r="DS44" s="72"/>
      <c r="DT44" s="72"/>
      <c r="DU44" s="72"/>
      <c r="DV44" s="72"/>
      <c r="DW44" s="72"/>
      <c r="DX44" s="72"/>
      <c r="DY44" s="72"/>
      <c r="DZ44" s="72"/>
      <c r="EA44" s="72"/>
      <c r="EB44" s="72"/>
      <c r="EC44" s="72"/>
      <c r="ED44" s="72"/>
      <c r="EE44" s="72"/>
      <c r="EF44" s="72"/>
      <c r="EG44" s="72"/>
      <c r="EH44" s="72"/>
      <c r="EI44" s="72"/>
      <c r="EJ44" s="72"/>
      <c r="EK44" s="72"/>
      <c r="EL44" s="72"/>
      <c r="EM44" s="72"/>
      <c r="EN44" s="72"/>
      <c r="EO44" s="72"/>
      <c r="EP44" s="72"/>
      <c r="EQ44" s="72"/>
      <c r="ER44" s="72"/>
      <c r="ES44" s="72"/>
      <c r="ET44" s="72"/>
      <c r="EU44" s="72"/>
      <c r="EV44" s="72"/>
      <c r="EW44" s="72"/>
      <c r="EX44" s="72"/>
      <c r="EY44" s="72"/>
      <c r="EZ44" s="72"/>
      <c r="FA44" s="72"/>
      <c r="FB44" s="72"/>
      <c r="FC44" s="72"/>
      <c r="FD44" s="72"/>
      <c r="FE44" s="72"/>
      <c r="FF44" s="72"/>
      <c r="FG44" s="72"/>
      <c r="FH44" s="72"/>
      <c r="FI44" s="72"/>
      <c r="FJ44" s="72"/>
      <c r="FK44" s="72"/>
      <c r="FL44" s="72"/>
      <c r="FM44" s="72"/>
      <c r="FN44" s="72"/>
      <c r="FO44" s="72"/>
      <c r="FP44" s="72"/>
      <c r="FQ44" s="72"/>
      <c r="FR44" s="72"/>
      <c r="FS44" s="72"/>
      <c r="FT44" s="72"/>
      <c r="FU44" s="72"/>
      <c r="FV44" s="72"/>
      <c r="FW44" s="72"/>
      <c r="FX44" s="72"/>
      <c r="FY44" s="72"/>
      <c r="FZ44" s="72"/>
      <c r="GA44" s="72"/>
      <c r="GB44" s="72"/>
      <c r="GC44" s="72"/>
      <c r="GD44" s="72"/>
      <c r="GE44" s="72"/>
      <c r="GF44" s="72"/>
      <c r="GG44" s="72"/>
      <c r="GH44" s="72"/>
      <c r="GI44" s="72"/>
      <c r="GJ44" s="72"/>
      <c r="GK44" s="72"/>
      <c r="GL44" s="72"/>
      <c r="GM44" s="72"/>
      <c r="GN44" s="72"/>
      <c r="GO44" s="72"/>
      <c r="GP44" s="72"/>
      <c r="GQ44" s="72"/>
      <c r="GR44" s="72"/>
      <c r="GS44" s="72"/>
      <c r="GT44" s="72"/>
      <c r="GU44" s="72"/>
      <c r="GV44" s="72"/>
      <c r="GW44" s="72"/>
      <c r="GX44" s="72"/>
      <c r="GY44" s="72"/>
      <c r="GZ44" s="72"/>
      <c r="HA44" s="72"/>
      <c r="HB44" s="72"/>
      <c r="HC44" s="72"/>
      <c r="HD44" s="72"/>
      <c r="HE44" s="72"/>
      <c r="HF44" s="72"/>
      <c r="HG44" s="72"/>
      <c r="HH44" s="72"/>
      <c r="HI44" s="72"/>
      <c r="HJ44" s="72"/>
      <c r="HK44" s="72"/>
      <c r="HL44" s="72"/>
      <c r="HM44" s="72"/>
      <c r="HN44" s="72"/>
      <c r="HO44" s="72"/>
      <c r="HP44" s="72"/>
      <c r="HQ44" s="72"/>
      <c r="HR44" s="72"/>
      <c r="HS44" s="72"/>
      <c r="HT44" s="72"/>
      <c r="HU44" s="72"/>
      <c r="HV44" s="72"/>
      <c r="HW44" s="72"/>
      <c r="HX44" s="72"/>
      <c r="HY44" s="72"/>
      <c r="HZ44" s="72"/>
      <c r="IA44" s="72"/>
      <c r="IB44" s="72"/>
      <c r="IC44" s="72"/>
      <c r="ID44" s="72"/>
      <c r="IE44" s="72"/>
      <c r="IF44" s="72"/>
      <c r="IG44" s="72"/>
      <c r="IH44" s="72"/>
      <c r="II44" s="72"/>
      <c r="IJ44" s="72"/>
      <c r="IK44" s="72"/>
      <c r="IL44" s="72"/>
    </row>
    <row r="45" spans="1:246" s="68" customFormat="1" ht="32.65" customHeight="1" x14ac:dyDescent="0.5">
      <c r="A45" s="84"/>
      <c r="B45" s="69"/>
      <c r="C45" s="69"/>
      <c r="D45" s="85"/>
      <c r="E45" s="85"/>
      <c r="F45" s="69"/>
      <c r="G45" s="69"/>
      <c r="H45" s="71"/>
      <c r="I45" s="71"/>
      <c r="J45" s="85"/>
      <c r="K45" s="85"/>
      <c r="L45" s="69"/>
      <c r="M45" s="69"/>
      <c r="N45" s="69"/>
      <c r="O45" s="69"/>
      <c r="P45" s="69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72"/>
      <c r="CM45" s="72"/>
      <c r="CN45" s="72"/>
      <c r="CO45" s="72"/>
      <c r="CP45" s="72"/>
      <c r="CQ45" s="72"/>
      <c r="CR45" s="72"/>
      <c r="CS45" s="72"/>
      <c r="CT45" s="72"/>
      <c r="CU45" s="72"/>
      <c r="CV45" s="72"/>
      <c r="CW45" s="72"/>
      <c r="CX45" s="72"/>
      <c r="CY45" s="72"/>
      <c r="CZ45" s="72"/>
      <c r="DA45" s="72"/>
      <c r="DB45" s="72"/>
      <c r="DC45" s="72"/>
      <c r="DD45" s="72"/>
      <c r="DE45" s="72"/>
      <c r="DF45" s="72"/>
      <c r="DG45" s="72"/>
      <c r="DH45" s="72"/>
      <c r="DI45" s="72"/>
      <c r="DJ45" s="72"/>
      <c r="DK45" s="72"/>
      <c r="DL45" s="72"/>
      <c r="DM45" s="72"/>
      <c r="DN45" s="72"/>
      <c r="DO45" s="72"/>
      <c r="DP45" s="72"/>
      <c r="DQ45" s="72"/>
      <c r="DR45" s="72"/>
      <c r="DS45" s="72"/>
      <c r="DT45" s="72"/>
      <c r="DU45" s="72"/>
      <c r="DV45" s="72"/>
      <c r="DW45" s="72"/>
      <c r="DX45" s="72"/>
      <c r="DY45" s="72"/>
      <c r="DZ45" s="72"/>
      <c r="EA45" s="72"/>
      <c r="EB45" s="72"/>
      <c r="EC45" s="72"/>
      <c r="ED45" s="72"/>
      <c r="EE45" s="72"/>
      <c r="EF45" s="72"/>
      <c r="EG45" s="72"/>
      <c r="EH45" s="72"/>
      <c r="EI45" s="72"/>
      <c r="EJ45" s="72"/>
      <c r="EK45" s="72"/>
      <c r="EL45" s="72"/>
      <c r="EM45" s="72"/>
      <c r="EN45" s="72"/>
      <c r="EO45" s="72"/>
      <c r="EP45" s="72"/>
      <c r="EQ45" s="72"/>
      <c r="ER45" s="72"/>
      <c r="ES45" s="72"/>
      <c r="ET45" s="72"/>
      <c r="EU45" s="72"/>
      <c r="EV45" s="72"/>
      <c r="EW45" s="72"/>
      <c r="EX45" s="72"/>
      <c r="EY45" s="72"/>
      <c r="EZ45" s="72"/>
      <c r="FA45" s="72"/>
      <c r="FB45" s="72"/>
      <c r="FC45" s="72"/>
      <c r="FD45" s="72"/>
      <c r="FE45" s="72"/>
      <c r="FF45" s="72"/>
      <c r="FG45" s="72"/>
      <c r="FH45" s="72"/>
      <c r="FI45" s="72"/>
      <c r="FJ45" s="72"/>
      <c r="FK45" s="72"/>
      <c r="FL45" s="72"/>
      <c r="FM45" s="72"/>
      <c r="FN45" s="72"/>
      <c r="FO45" s="72"/>
      <c r="FP45" s="72"/>
      <c r="FQ45" s="72"/>
      <c r="FR45" s="72"/>
      <c r="FS45" s="72"/>
      <c r="FT45" s="72"/>
      <c r="FU45" s="72"/>
      <c r="FV45" s="72"/>
      <c r="FW45" s="72"/>
      <c r="FX45" s="72"/>
      <c r="FY45" s="72"/>
      <c r="FZ45" s="72"/>
      <c r="GA45" s="72"/>
      <c r="GB45" s="72"/>
      <c r="GC45" s="72"/>
      <c r="GD45" s="72"/>
      <c r="GE45" s="72"/>
      <c r="GF45" s="72"/>
      <c r="GG45" s="72"/>
      <c r="GH45" s="72"/>
      <c r="GI45" s="72"/>
      <c r="GJ45" s="72"/>
      <c r="GK45" s="72"/>
      <c r="GL45" s="72"/>
      <c r="GM45" s="72"/>
      <c r="GN45" s="72"/>
      <c r="GO45" s="72"/>
      <c r="GP45" s="72"/>
      <c r="GQ45" s="72"/>
      <c r="GR45" s="72"/>
      <c r="GS45" s="72"/>
      <c r="GT45" s="72"/>
      <c r="GU45" s="72"/>
      <c r="GV45" s="72"/>
      <c r="GW45" s="72"/>
      <c r="GX45" s="72"/>
      <c r="GY45" s="72"/>
      <c r="GZ45" s="72"/>
      <c r="HA45" s="72"/>
      <c r="HB45" s="72"/>
      <c r="HC45" s="72"/>
      <c r="HD45" s="72"/>
      <c r="HE45" s="72"/>
      <c r="HF45" s="72"/>
      <c r="HG45" s="72"/>
      <c r="HH45" s="72"/>
      <c r="HI45" s="72"/>
      <c r="HJ45" s="72"/>
      <c r="HK45" s="72"/>
      <c r="HL45" s="72"/>
      <c r="HM45" s="72"/>
      <c r="HN45" s="72"/>
      <c r="HO45" s="72"/>
      <c r="HP45" s="72"/>
      <c r="HQ45" s="72"/>
      <c r="HR45" s="72"/>
      <c r="HS45" s="72"/>
      <c r="HT45" s="72"/>
      <c r="HU45" s="72"/>
      <c r="HV45" s="72"/>
      <c r="HW45" s="72"/>
      <c r="HX45" s="72"/>
      <c r="HY45" s="72"/>
      <c r="HZ45" s="72"/>
      <c r="IA45" s="72"/>
      <c r="IB45" s="72"/>
      <c r="IC45" s="72"/>
      <c r="ID45" s="72"/>
      <c r="IE45" s="72"/>
      <c r="IF45" s="72"/>
      <c r="IG45" s="72"/>
      <c r="IH45" s="72"/>
      <c r="II45" s="72"/>
      <c r="IJ45" s="72"/>
      <c r="IK45" s="72"/>
      <c r="IL45" s="72"/>
    </row>
    <row r="46" spans="1:246" s="68" customFormat="1" x14ac:dyDescent="0.5">
      <c r="A46" s="85"/>
      <c r="B46" s="69"/>
      <c r="C46" s="69"/>
      <c r="D46" s="85"/>
      <c r="E46" s="85"/>
      <c r="F46" s="69"/>
      <c r="G46" s="70"/>
      <c r="H46" s="71"/>
      <c r="I46" s="71"/>
      <c r="J46" s="85"/>
      <c r="K46" s="85"/>
      <c r="L46" s="69"/>
      <c r="M46" s="69"/>
      <c r="N46" s="69"/>
      <c r="O46" s="69"/>
      <c r="P46" s="69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72"/>
      <c r="CM46" s="72"/>
      <c r="CN46" s="72"/>
      <c r="CO46" s="72"/>
      <c r="CP46" s="72"/>
      <c r="CQ46" s="72"/>
      <c r="CR46" s="72"/>
      <c r="CS46" s="72"/>
      <c r="CT46" s="72"/>
      <c r="CU46" s="72"/>
      <c r="CV46" s="72"/>
      <c r="CW46" s="72"/>
      <c r="CX46" s="72"/>
      <c r="CY46" s="72"/>
      <c r="CZ46" s="72"/>
      <c r="DA46" s="72"/>
      <c r="DB46" s="72"/>
      <c r="DC46" s="72"/>
      <c r="DD46" s="72"/>
      <c r="DE46" s="72"/>
      <c r="DF46" s="72"/>
      <c r="DG46" s="72"/>
      <c r="DH46" s="72"/>
      <c r="DI46" s="72"/>
      <c r="DJ46" s="72"/>
      <c r="DK46" s="72"/>
      <c r="DL46" s="72"/>
      <c r="DM46" s="72"/>
      <c r="DN46" s="72"/>
      <c r="DO46" s="72"/>
      <c r="DP46" s="72"/>
      <c r="DQ46" s="72"/>
      <c r="DR46" s="72"/>
      <c r="DS46" s="72"/>
      <c r="DT46" s="72"/>
      <c r="DU46" s="72"/>
      <c r="DV46" s="72"/>
      <c r="DW46" s="72"/>
      <c r="DX46" s="72"/>
      <c r="DY46" s="72"/>
      <c r="DZ46" s="72"/>
      <c r="EA46" s="72"/>
      <c r="EB46" s="72"/>
      <c r="EC46" s="72"/>
      <c r="ED46" s="72"/>
      <c r="EE46" s="72"/>
      <c r="EF46" s="72"/>
      <c r="EG46" s="72"/>
      <c r="EH46" s="72"/>
      <c r="EI46" s="72"/>
      <c r="EJ46" s="72"/>
      <c r="EK46" s="72"/>
      <c r="EL46" s="72"/>
      <c r="EM46" s="72"/>
      <c r="EN46" s="72"/>
      <c r="EO46" s="72"/>
      <c r="EP46" s="72"/>
      <c r="EQ46" s="72"/>
      <c r="ER46" s="72"/>
      <c r="ES46" s="72"/>
      <c r="ET46" s="72"/>
      <c r="EU46" s="72"/>
      <c r="EV46" s="72"/>
      <c r="EW46" s="72"/>
      <c r="EX46" s="72"/>
      <c r="EY46" s="72"/>
      <c r="EZ46" s="72"/>
      <c r="FA46" s="72"/>
      <c r="FB46" s="72"/>
      <c r="FC46" s="72"/>
      <c r="FD46" s="72"/>
      <c r="FE46" s="72"/>
      <c r="FF46" s="72"/>
      <c r="FG46" s="72"/>
      <c r="FH46" s="72"/>
      <c r="FI46" s="72"/>
      <c r="FJ46" s="72"/>
      <c r="FK46" s="72"/>
      <c r="FL46" s="72"/>
      <c r="FM46" s="72"/>
      <c r="FN46" s="72"/>
      <c r="FO46" s="72"/>
      <c r="FP46" s="72"/>
      <c r="FQ46" s="72"/>
      <c r="FR46" s="72"/>
      <c r="FS46" s="72"/>
      <c r="FT46" s="72"/>
      <c r="FU46" s="72"/>
      <c r="FV46" s="72"/>
      <c r="FW46" s="72"/>
      <c r="FX46" s="72"/>
      <c r="FY46" s="72"/>
      <c r="FZ46" s="72"/>
      <c r="GA46" s="72"/>
      <c r="GB46" s="72"/>
      <c r="GC46" s="72"/>
      <c r="GD46" s="72"/>
      <c r="GE46" s="72"/>
      <c r="GF46" s="72"/>
      <c r="GG46" s="72"/>
      <c r="GH46" s="72"/>
      <c r="GI46" s="72"/>
      <c r="GJ46" s="72"/>
      <c r="GK46" s="72"/>
      <c r="GL46" s="72"/>
      <c r="GM46" s="72"/>
      <c r="GN46" s="72"/>
      <c r="GO46" s="72"/>
      <c r="GP46" s="72"/>
      <c r="GQ46" s="72"/>
      <c r="GR46" s="72"/>
      <c r="GS46" s="72"/>
      <c r="GT46" s="72"/>
      <c r="GU46" s="72"/>
      <c r="GV46" s="72"/>
      <c r="GW46" s="72"/>
      <c r="GX46" s="72"/>
      <c r="GY46" s="72"/>
      <c r="GZ46" s="72"/>
      <c r="HA46" s="72"/>
      <c r="HB46" s="72"/>
      <c r="HC46" s="72"/>
      <c r="HD46" s="72"/>
      <c r="HE46" s="72"/>
      <c r="HF46" s="72"/>
      <c r="HG46" s="72"/>
      <c r="HH46" s="72"/>
      <c r="HI46" s="72"/>
      <c r="HJ46" s="72"/>
      <c r="HK46" s="72"/>
      <c r="HL46" s="72"/>
      <c r="HM46" s="72"/>
      <c r="HN46" s="72"/>
      <c r="HO46" s="72"/>
      <c r="HP46" s="72"/>
      <c r="HQ46" s="72"/>
      <c r="HR46" s="72"/>
      <c r="HS46" s="72"/>
      <c r="HT46" s="72"/>
      <c r="HU46" s="72"/>
      <c r="HV46" s="72"/>
      <c r="HW46" s="72"/>
      <c r="HX46" s="72"/>
      <c r="HY46" s="72"/>
      <c r="HZ46" s="72"/>
      <c r="IA46" s="72"/>
      <c r="IB46" s="72"/>
      <c r="IC46" s="72"/>
      <c r="ID46" s="72"/>
      <c r="IE46" s="72"/>
      <c r="IF46" s="72"/>
      <c r="IG46" s="72"/>
      <c r="IH46" s="72"/>
      <c r="II46" s="72"/>
      <c r="IJ46" s="72"/>
      <c r="IK46" s="72"/>
      <c r="IL46" s="72"/>
    </row>
    <row r="47" spans="1:246" s="68" customFormat="1" x14ac:dyDescent="0.5">
      <c r="A47" s="84"/>
      <c r="B47" s="69"/>
      <c r="C47" s="69"/>
      <c r="D47" s="85"/>
      <c r="E47" s="85"/>
      <c r="F47" s="69"/>
      <c r="G47" s="69"/>
      <c r="H47" s="71"/>
      <c r="I47" s="71"/>
      <c r="J47" s="85"/>
      <c r="K47" s="85"/>
      <c r="L47" s="69"/>
      <c r="M47" s="69"/>
      <c r="N47" s="69"/>
      <c r="O47" s="69"/>
      <c r="P47" s="69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72"/>
      <c r="CM47" s="72"/>
      <c r="CN47" s="72"/>
      <c r="CO47" s="72"/>
      <c r="CP47" s="72"/>
      <c r="CQ47" s="72"/>
      <c r="CR47" s="72"/>
      <c r="CS47" s="72"/>
      <c r="CT47" s="72"/>
      <c r="CU47" s="72"/>
      <c r="CV47" s="72"/>
      <c r="CW47" s="72"/>
      <c r="CX47" s="72"/>
      <c r="CY47" s="72"/>
      <c r="CZ47" s="72"/>
      <c r="DA47" s="72"/>
      <c r="DB47" s="72"/>
      <c r="DC47" s="72"/>
      <c r="DD47" s="72"/>
      <c r="DE47" s="72"/>
      <c r="DF47" s="72"/>
      <c r="DG47" s="72"/>
      <c r="DH47" s="72"/>
      <c r="DI47" s="72"/>
      <c r="DJ47" s="72"/>
      <c r="DK47" s="72"/>
      <c r="DL47" s="72"/>
      <c r="DM47" s="72"/>
      <c r="DN47" s="72"/>
      <c r="DO47" s="72"/>
      <c r="DP47" s="72"/>
      <c r="DQ47" s="72"/>
      <c r="DR47" s="72"/>
      <c r="DS47" s="72"/>
      <c r="DT47" s="72"/>
      <c r="DU47" s="72"/>
      <c r="DV47" s="72"/>
      <c r="DW47" s="72"/>
      <c r="DX47" s="72"/>
      <c r="DY47" s="72"/>
      <c r="DZ47" s="72"/>
      <c r="EA47" s="72"/>
      <c r="EB47" s="72"/>
      <c r="EC47" s="72"/>
      <c r="ED47" s="72"/>
      <c r="EE47" s="72"/>
      <c r="EF47" s="72"/>
      <c r="EG47" s="72"/>
      <c r="EH47" s="72"/>
      <c r="EI47" s="72"/>
      <c r="EJ47" s="72"/>
      <c r="EK47" s="72"/>
      <c r="EL47" s="72"/>
      <c r="EM47" s="72"/>
      <c r="EN47" s="72"/>
      <c r="EO47" s="72"/>
      <c r="EP47" s="72"/>
      <c r="EQ47" s="72"/>
      <c r="ER47" s="72"/>
      <c r="ES47" s="72"/>
      <c r="ET47" s="72"/>
      <c r="EU47" s="72"/>
      <c r="EV47" s="72"/>
      <c r="EW47" s="72"/>
      <c r="EX47" s="72"/>
      <c r="EY47" s="72"/>
      <c r="EZ47" s="72"/>
      <c r="FA47" s="72"/>
      <c r="FB47" s="72"/>
      <c r="FC47" s="72"/>
      <c r="FD47" s="72"/>
      <c r="FE47" s="72"/>
      <c r="FF47" s="72"/>
      <c r="FG47" s="72"/>
      <c r="FH47" s="72"/>
      <c r="FI47" s="72"/>
      <c r="FJ47" s="72"/>
      <c r="FK47" s="72"/>
      <c r="FL47" s="72"/>
      <c r="FM47" s="72"/>
      <c r="FN47" s="72"/>
      <c r="FO47" s="72"/>
      <c r="FP47" s="72"/>
      <c r="FQ47" s="72"/>
      <c r="FR47" s="72"/>
      <c r="FS47" s="72"/>
      <c r="FT47" s="72"/>
      <c r="FU47" s="72"/>
      <c r="FV47" s="72"/>
      <c r="FW47" s="72"/>
      <c r="FX47" s="72"/>
      <c r="FY47" s="72"/>
      <c r="FZ47" s="72"/>
      <c r="GA47" s="72"/>
      <c r="GB47" s="72"/>
      <c r="GC47" s="72"/>
      <c r="GD47" s="72"/>
      <c r="GE47" s="72"/>
      <c r="GF47" s="72"/>
      <c r="GG47" s="72"/>
      <c r="GH47" s="72"/>
      <c r="GI47" s="72"/>
      <c r="GJ47" s="72"/>
      <c r="GK47" s="72"/>
      <c r="GL47" s="72"/>
      <c r="GM47" s="72"/>
      <c r="GN47" s="72"/>
      <c r="GO47" s="72"/>
      <c r="GP47" s="72"/>
      <c r="GQ47" s="72"/>
      <c r="GR47" s="72"/>
      <c r="GS47" s="72"/>
      <c r="GT47" s="72"/>
      <c r="GU47" s="72"/>
      <c r="GV47" s="72"/>
      <c r="GW47" s="72"/>
      <c r="GX47" s="72"/>
      <c r="GY47" s="72"/>
      <c r="GZ47" s="72"/>
      <c r="HA47" s="72"/>
      <c r="HB47" s="72"/>
      <c r="HC47" s="72"/>
      <c r="HD47" s="72"/>
      <c r="HE47" s="72"/>
      <c r="HF47" s="72"/>
      <c r="HG47" s="72"/>
      <c r="HH47" s="72"/>
      <c r="HI47" s="72"/>
      <c r="HJ47" s="72"/>
      <c r="HK47" s="72"/>
      <c r="HL47" s="72"/>
      <c r="HM47" s="72"/>
      <c r="HN47" s="72"/>
      <c r="HO47" s="72"/>
      <c r="HP47" s="72"/>
      <c r="HQ47" s="72"/>
      <c r="HR47" s="72"/>
      <c r="HS47" s="72"/>
      <c r="HT47" s="72"/>
      <c r="HU47" s="72"/>
      <c r="HV47" s="72"/>
      <c r="HW47" s="72"/>
      <c r="HX47" s="72"/>
      <c r="HY47" s="72"/>
      <c r="HZ47" s="72"/>
      <c r="IA47" s="72"/>
      <c r="IB47" s="72"/>
      <c r="IC47" s="72"/>
      <c r="ID47" s="72"/>
      <c r="IE47" s="72"/>
      <c r="IF47" s="72"/>
      <c r="IG47" s="72"/>
      <c r="IH47" s="72"/>
      <c r="II47" s="72"/>
      <c r="IJ47" s="72"/>
      <c r="IK47" s="72"/>
      <c r="IL47" s="72"/>
    </row>
    <row r="48" spans="1:246" s="68" customFormat="1" x14ac:dyDescent="0.5">
      <c r="A48" s="84"/>
      <c r="B48" s="69"/>
      <c r="C48" s="69"/>
      <c r="D48" s="85"/>
      <c r="E48" s="85"/>
      <c r="F48" s="70"/>
      <c r="G48" s="70"/>
      <c r="H48" s="71"/>
      <c r="I48" s="71"/>
      <c r="J48" s="85"/>
      <c r="K48" s="85"/>
      <c r="L48" s="69"/>
      <c r="M48" s="69"/>
      <c r="N48" s="69"/>
      <c r="O48" s="69"/>
      <c r="P48" s="69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  <c r="CO48" s="72"/>
      <c r="CP48" s="72"/>
      <c r="CQ48" s="72"/>
      <c r="CR48" s="72"/>
      <c r="CS48" s="72"/>
      <c r="CT48" s="72"/>
      <c r="CU48" s="72"/>
      <c r="CV48" s="72"/>
      <c r="CW48" s="72"/>
      <c r="CX48" s="72"/>
      <c r="CY48" s="72"/>
      <c r="CZ48" s="72"/>
      <c r="DA48" s="72"/>
      <c r="DB48" s="72"/>
      <c r="DC48" s="72"/>
      <c r="DD48" s="72"/>
      <c r="DE48" s="72"/>
      <c r="DF48" s="72"/>
      <c r="DG48" s="72"/>
      <c r="DH48" s="72"/>
      <c r="DI48" s="72"/>
      <c r="DJ48" s="72"/>
      <c r="DK48" s="72"/>
      <c r="DL48" s="72"/>
      <c r="DM48" s="72"/>
      <c r="DN48" s="72"/>
      <c r="DO48" s="72"/>
      <c r="DP48" s="72"/>
      <c r="DQ48" s="72"/>
      <c r="DR48" s="72"/>
      <c r="DS48" s="72"/>
      <c r="DT48" s="72"/>
      <c r="DU48" s="72"/>
      <c r="DV48" s="72"/>
      <c r="DW48" s="72"/>
      <c r="DX48" s="72"/>
      <c r="DY48" s="72"/>
      <c r="DZ48" s="72"/>
      <c r="EA48" s="72"/>
      <c r="EB48" s="72"/>
      <c r="EC48" s="72"/>
      <c r="ED48" s="72"/>
      <c r="EE48" s="72"/>
      <c r="EF48" s="72"/>
      <c r="EG48" s="72"/>
      <c r="EH48" s="72"/>
      <c r="EI48" s="72"/>
      <c r="EJ48" s="72"/>
      <c r="EK48" s="72"/>
      <c r="EL48" s="72"/>
      <c r="EM48" s="72"/>
      <c r="EN48" s="72"/>
      <c r="EO48" s="72"/>
      <c r="EP48" s="72"/>
      <c r="EQ48" s="72"/>
      <c r="ER48" s="72"/>
      <c r="ES48" s="72"/>
      <c r="ET48" s="72"/>
      <c r="EU48" s="72"/>
      <c r="EV48" s="72"/>
      <c r="EW48" s="72"/>
      <c r="EX48" s="72"/>
      <c r="EY48" s="72"/>
      <c r="EZ48" s="72"/>
      <c r="FA48" s="72"/>
      <c r="FB48" s="72"/>
      <c r="FC48" s="72"/>
      <c r="FD48" s="72"/>
      <c r="FE48" s="72"/>
      <c r="FF48" s="72"/>
      <c r="FG48" s="72"/>
      <c r="FH48" s="72"/>
      <c r="FI48" s="72"/>
      <c r="FJ48" s="72"/>
      <c r="FK48" s="72"/>
      <c r="FL48" s="72"/>
      <c r="FM48" s="72"/>
      <c r="FN48" s="72"/>
      <c r="FO48" s="72"/>
      <c r="FP48" s="72"/>
      <c r="FQ48" s="72"/>
      <c r="FR48" s="72"/>
      <c r="FS48" s="72"/>
      <c r="FT48" s="72"/>
      <c r="FU48" s="72"/>
      <c r="FV48" s="72"/>
      <c r="FW48" s="72"/>
      <c r="FX48" s="72"/>
      <c r="FY48" s="72"/>
      <c r="FZ48" s="72"/>
      <c r="GA48" s="72"/>
      <c r="GB48" s="72"/>
      <c r="GC48" s="72"/>
      <c r="GD48" s="72"/>
      <c r="GE48" s="72"/>
      <c r="GF48" s="72"/>
      <c r="GG48" s="72"/>
      <c r="GH48" s="72"/>
      <c r="GI48" s="72"/>
      <c r="GJ48" s="72"/>
      <c r="GK48" s="72"/>
      <c r="GL48" s="72"/>
      <c r="GM48" s="72"/>
      <c r="GN48" s="72"/>
      <c r="GO48" s="72"/>
      <c r="GP48" s="72"/>
      <c r="GQ48" s="72"/>
      <c r="GR48" s="72"/>
      <c r="GS48" s="72"/>
      <c r="GT48" s="72"/>
      <c r="GU48" s="72"/>
      <c r="GV48" s="72"/>
      <c r="GW48" s="72"/>
      <c r="GX48" s="72"/>
      <c r="GY48" s="72"/>
      <c r="GZ48" s="72"/>
      <c r="HA48" s="72"/>
      <c r="HB48" s="72"/>
      <c r="HC48" s="72"/>
      <c r="HD48" s="72"/>
      <c r="HE48" s="72"/>
      <c r="HF48" s="72"/>
      <c r="HG48" s="72"/>
      <c r="HH48" s="72"/>
      <c r="HI48" s="72"/>
      <c r="HJ48" s="72"/>
      <c r="HK48" s="72"/>
      <c r="HL48" s="72"/>
      <c r="HM48" s="72"/>
      <c r="HN48" s="72"/>
      <c r="HO48" s="72"/>
      <c r="HP48" s="72"/>
      <c r="HQ48" s="72"/>
      <c r="HR48" s="72"/>
      <c r="HS48" s="72"/>
      <c r="HT48" s="72"/>
      <c r="HU48" s="72"/>
      <c r="HV48" s="72"/>
      <c r="HW48" s="72"/>
      <c r="HX48" s="72"/>
      <c r="HY48" s="72"/>
      <c r="HZ48" s="72"/>
      <c r="IA48" s="72"/>
      <c r="IB48" s="72"/>
      <c r="IC48" s="72"/>
      <c r="ID48" s="72"/>
      <c r="IE48" s="72"/>
      <c r="IF48" s="72"/>
      <c r="IG48" s="72"/>
      <c r="IH48" s="72"/>
      <c r="II48" s="72"/>
      <c r="IJ48" s="72"/>
      <c r="IK48" s="72"/>
      <c r="IL48" s="72"/>
    </row>
    <row r="49" spans="1:15" x14ac:dyDescent="0.5">
      <c r="A49" s="84"/>
      <c r="D49" s="85"/>
      <c r="E49" s="85"/>
      <c r="F49" s="58"/>
      <c r="J49" s="85"/>
      <c r="K49" s="89"/>
    </row>
    <row r="50" spans="1:15" x14ac:dyDescent="0.5">
      <c r="A50" s="84"/>
      <c r="D50" s="85"/>
      <c r="E50" s="85"/>
      <c r="F50" s="58"/>
      <c r="J50" s="85"/>
      <c r="K50" s="89"/>
    </row>
    <row r="51" spans="1:15" x14ac:dyDescent="0.5">
      <c r="A51" s="84"/>
      <c r="D51" s="85"/>
      <c r="E51" s="85"/>
      <c r="G51" s="58"/>
      <c r="J51" s="85"/>
      <c r="K51" s="89"/>
      <c r="O51" s="47"/>
    </row>
    <row r="52" spans="1:15" x14ac:dyDescent="0.5">
      <c r="A52" s="84"/>
      <c r="D52" s="85"/>
      <c r="E52" s="85"/>
      <c r="J52" s="85"/>
      <c r="K52" s="89"/>
      <c r="O52" s="47"/>
    </row>
    <row r="53" spans="1:15" x14ac:dyDescent="0.5">
      <c r="A53" s="85"/>
      <c r="D53" s="85"/>
      <c r="E53" s="85"/>
      <c r="F53" s="58"/>
      <c r="G53" s="58"/>
      <c r="J53" s="85"/>
      <c r="K53" s="89"/>
      <c r="O53" s="47"/>
    </row>
    <row r="54" spans="1:15" x14ac:dyDescent="0.5">
      <c r="A54" s="84"/>
      <c r="D54" s="85"/>
      <c r="E54" s="85"/>
      <c r="J54" s="85"/>
      <c r="K54" s="89"/>
      <c r="O54" s="47"/>
    </row>
    <row r="55" spans="1:15" x14ac:dyDescent="0.5">
      <c r="A55" s="84"/>
      <c r="D55" s="85"/>
      <c r="E55" s="85"/>
      <c r="J55" s="85"/>
      <c r="K55" s="89"/>
      <c r="O55" s="47"/>
    </row>
    <row r="56" spans="1:15" x14ac:dyDescent="0.5">
      <c r="A56" s="84"/>
      <c r="D56" s="85"/>
      <c r="E56" s="85"/>
      <c r="J56" s="85"/>
      <c r="K56" s="89"/>
      <c r="O56" s="47"/>
    </row>
    <row r="57" spans="1:15" x14ac:dyDescent="0.5">
      <c r="A57" s="85"/>
      <c r="D57" s="85"/>
      <c r="E57" s="85"/>
      <c r="J57" s="85"/>
      <c r="K57" s="89"/>
      <c r="O57" s="47"/>
    </row>
    <row r="58" spans="1:15" x14ac:dyDescent="0.5">
      <c r="A58" s="84"/>
      <c r="D58" s="85"/>
      <c r="E58" s="85"/>
      <c r="J58" s="85"/>
      <c r="K58" s="89"/>
      <c r="O58" s="47"/>
    </row>
    <row r="59" spans="1:15" x14ac:dyDescent="0.5">
      <c r="A59" s="50"/>
      <c r="D59" s="85"/>
      <c r="E59" s="85"/>
      <c r="J59" s="53"/>
      <c r="K59" s="53"/>
      <c r="O59" s="58"/>
    </row>
    <row r="60" spans="1:15" x14ac:dyDescent="0.5">
      <c r="A60" s="86"/>
      <c r="D60" s="86"/>
      <c r="E60" s="86"/>
      <c r="J60" s="86"/>
      <c r="K60" s="90"/>
    </row>
    <row r="61" spans="1:15" x14ac:dyDescent="0.5">
      <c r="A61" s="86"/>
      <c r="D61" s="86"/>
      <c r="E61" s="86"/>
      <c r="J61" s="86"/>
      <c r="K61" s="90"/>
    </row>
    <row r="62" spans="1:15" x14ac:dyDescent="0.5">
      <c r="K62" s="54"/>
    </row>
    <row r="63" spans="1:15" x14ac:dyDescent="0.5">
      <c r="K63" s="47"/>
    </row>
    <row r="64" spans="1:15" x14ac:dyDescent="0.5">
      <c r="J64" s="47"/>
      <c r="K64" s="47"/>
    </row>
    <row r="65" spans="10:11" s="46" customFormat="1" x14ac:dyDescent="0.5">
      <c r="J65" s="47"/>
      <c r="K65" s="58"/>
    </row>
    <row r="66" spans="10:11" s="46" customFormat="1" x14ac:dyDescent="0.5">
      <c r="J66" s="47"/>
      <c r="K66" s="47"/>
    </row>
    <row r="67" spans="10:11" s="46" customFormat="1" x14ac:dyDescent="0.5">
      <c r="J67" s="47"/>
      <c r="K67" s="58"/>
    </row>
    <row r="68" spans="10:11" x14ac:dyDescent="0.5">
      <c r="J68" s="47"/>
    </row>
    <row r="69" spans="10:11" x14ac:dyDescent="0.5">
      <c r="J69" s="47"/>
      <c r="K69" s="58"/>
    </row>
    <row r="70" spans="10:11" x14ac:dyDescent="0.5">
      <c r="J70" s="47"/>
      <c r="K70" s="47"/>
    </row>
    <row r="71" spans="10:11" x14ac:dyDescent="0.5">
      <c r="J71" s="47"/>
      <c r="K71" s="47"/>
    </row>
    <row r="72" spans="10:11" x14ac:dyDescent="0.5">
      <c r="J72" s="58"/>
      <c r="K72" s="47"/>
    </row>
    <row r="73" spans="10:11" x14ac:dyDescent="0.5">
      <c r="K73" s="47"/>
    </row>
    <row r="74" spans="10:11" x14ac:dyDescent="0.5">
      <c r="K74" s="47"/>
    </row>
  </sheetData>
  <phoneticPr fontId="21" type="noConversion"/>
  <pageMargins left="0.7" right="0.7" top="0.75" bottom="0.75" header="0.3" footer="0.3"/>
  <pageSetup paperSize="9" scale="41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V53"/>
  <sheetViews>
    <sheetView view="pageLayout" topLeftCell="B36" zoomScaleNormal="55" workbookViewId="0">
      <selection activeCell="K58" sqref="B36:K58"/>
    </sheetView>
  </sheetViews>
  <sheetFormatPr defaultColWidth="9" defaultRowHeight="14.5" x14ac:dyDescent="0.35"/>
  <cols>
    <col min="1" max="1" width="9.1796875" style="1" customWidth="1"/>
    <col min="2" max="2" width="19.81640625" style="1" customWidth="1"/>
    <col min="3" max="3" width="0.54296875" style="1" customWidth="1"/>
    <col min="4" max="4" width="19.81640625" style="1" customWidth="1"/>
    <col min="5" max="5" width="13.1796875" style="1" customWidth="1"/>
    <col min="6" max="6" width="15.1796875" style="1" customWidth="1"/>
    <col min="7" max="7" width="5.26953125" style="1" customWidth="1"/>
    <col min="8" max="8" width="9.1796875" style="1" customWidth="1"/>
    <col min="9" max="9" width="13.1796875" style="1" customWidth="1"/>
    <col min="10" max="10" width="18.7265625" style="1" customWidth="1"/>
    <col min="11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/>
    </row>
    <row r="2" spans="2:15" x14ac:dyDescent="0.35">
      <c r="B2" s="1" t="str">
        <f>'FROM BOREHOLE'!B3</f>
        <v>P.O BOX 9473-00200 NAIROBI</v>
      </c>
      <c r="N2" s="1" t="s">
        <v>71</v>
      </c>
      <c r="O2" s="1" t="s">
        <v>70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'FROM BOREHOLE'!H4+35-1</f>
        <v>20242035</v>
      </c>
      <c r="J4" s="1">
        <f>'FROM BOREHOLE'!H4+35-1</f>
        <v>20242035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111</v>
      </c>
      <c r="D6" s="4">
        <f>meter!A37</f>
        <v>0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D9" s="22"/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62" t="str">
        <f>'FROM BOREHOLE'!C10</f>
        <v>29TH JAN 2025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62" t="str">
        <f>'FROM BOREHOLE'!C12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31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7" t="s">
        <v>3</v>
      </c>
      <c r="D15" s="7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8">
        <f>meter!D37</f>
        <v>0</v>
      </c>
      <c r="C16" s="8"/>
      <c r="D16" s="8">
        <f>meter!E37</f>
        <v>0</v>
      </c>
      <c r="E16" s="8" t="s">
        <v>17</v>
      </c>
      <c r="F16" s="9">
        <f>D16-B16</f>
        <v>0</v>
      </c>
      <c r="H16" s="1" t="s">
        <v>61</v>
      </c>
      <c r="N16" s="1">
        <f t="shared" si="0"/>
        <v>9420</v>
      </c>
      <c r="O16" s="1">
        <v>9420</v>
      </c>
    </row>
    <row r="17" spans="2:15" x14ac:dyDescent="0.35">
      <c r="F17" s="1" t="s">
        <v>41</v>
      </c>
      <c r="N17" s="1">
        <f t="shared" si="0"/>
        <v>11154</v>
      </c>
      <c r="O17" s="1">
        <v>11154</v>
      </c>
    </row>
    <row r="18" spans="2:15" x14ac:dyDescent="0.35">
      <c r="D18" s="1" t="s">
        <v>23</v>
      </c>
      <c r="E18" s="1" t="s">
        <v>19</v>
      </c>
      <c r="F18" s="11"/>
      <c r="N18" s="1">
        <f t="shared" si="0"/>
        <v>10430</v>
      </c>
      <c r="O18" s="1">
        <v>10430</v>
      </c>
    </row>
    <row r="19" spans="2:15" ht="15.5" x14ac:dyDescent="0.35">
      <c r="B19" s="10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1" t="s">
        <v>16</v>
      </c>
      <c r="F20" s="1">
        <f>meter!H37</f>
        <v>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F24" s="11"/>
      <c r="N24" s="1">
        <f t="shared" si="0"/>
        <v>10270</v>
      </c>
      <c r="O24" s="1">
        <v>10270</v>
      </c>
    </row>
    <row r="25" spans="2:15" x14ac:dyDescent="0.35">
      <c r="F25" s="11"/>
      <c r="N25" s="1">
        <f t="shared" si="0"/>
        <v>11070</v>
      </c>
      <c r="O25" s="1">
        <v>11070</v>
      </c>
    </row>
    <row r="26" spans="2:15" x14ac:dyDescent="0.35">
      <c r="N26" s="1">
        <f t="shared" si="0"/>
        <v>11550</v>
      </c>
      <c r="O26" s="1">
        <v>11550</v>
      </c>
    </row>
    <row r="27" spans="2:15" x14ac:dyDescent="0.35">
      <c r="D27" s="12"/>
      <c r="E27" s="12"/>
      <c r="F27" s="11"/>
      <c r="N27" s="1">
        <f t="shared" si="0"/>
        <v>11393</v>
      </c>
      <c r="O27" s="1">
        <v>11393</v>
      </c>
    </row>
    <row r="28" spans="2:15" s="1" customFormat="1" x14ac:dyDescent="0.35">
      <c r="F28" s="11"/>
      <c r="N28" s="1">
        <f t="shared" si="0"/>
        <v>10802</v>
      </c>
      <c r="O28" s="1">
        <v>10802</v>
      </c>
    </row>
    <row r="29" spans="2:15" x14ac:dyDescent="0.35">
      <c r="F29" s="11"/>
      <c r="L29" s="1" t="s">
        <v>31</v>
      </c>
      <c r="N29" s="1">
        <f t="shared" si="0"/>
        <v>8930</v>
      </c>
      <c r="O29" s="1">
        <v>8930</v>
      </c>
    </row>
    <row r="30" spans="2:15" x14ac:dyDescent="0.35">
      <c r="D30" s="1" t="s">
        <v>10</v>
      </c>
      <c r="E30" s="1" t="s">
        <v>19</v>
      </c>
      <c r="F30" s="11">
        <f>SUM(F17:F29)</f>
        <v>0</v>
      </c>
      <c r="H30" s="13"/>
      <c r="N30" s="1">
        <f t="shared" si="0"/>
        <v>9570</v>
      </c>
      <c r="O30" s="1">
        <v>9570</v>
      </c>
    </row>
    <row r="31" spans="2:15" x14ac:dyDescent="0.35">
      <c r="F31" s="11"/>
      <c r="N31" s="1">
        <f t="shared" si="0"/>
        <v>11390</v>
      </c>
      <c r="O31" s="1">
        <v>11390</v>
      </c>
    </row>
    <row r="32" spans="2:15" x14ac:dyDescent="0.35">
      <c r="D32" s="1" t="s">
        <v>25</v>
      </c>
      <c r="F32" s="11">
        <f>meter!L37</f>
        <v>0</v>
      </c>
      <c r="N32" s="1">
        <f t="shared" si="0"/>
        <v>10750</v>
      </c>
      <c r="O32" s="1">
        <v>10750</v>
      </c>
    </row>
    <row r="33" spans="1:18" x14ac:dyDescent="0.35">
      <c r="F33" s="11"/>
      <c r="N33" s="1">
        <f t="shared" si="0"/>
        <v>11732</v>
      </c>
      <c r="O33" s="1">
        <v>11732</v>
      </c>
    </row>
    <row r="34" spans="1:18" x14ac:dyDescent="0.35">
      <c r="D34" s="1" t="s">
        <v>55</v>
      </c>
      <c r="F34" s="13">
        <f>F30-F32</f>
        <v>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10" t="s">
        <v>11</v>
      </c>
      <c r="N35" s="1">
        <f t="shared" si="0"/>
        <v>10270</v>
      </c>
      <c r="O35" s="1">
        <v>10270</v>
      </c>
    </row>
    <row r="36" spans="1:18" ht="18.5" x14ac:dyDescent="0.45">
      <c r="A36" s="1" t="s">
        <v>44</v>
      </c>
      <c r="B36" s="14"/>
      <c r="N36" s="1">
        <f t="shared" si="0"/>
        <v>10598</v>
      </c>
      <c r="O36" s="1">
        <v>10598</v>
      </c>
    </row>
    <row r="37" spans="1:18" x14ac:dyDescent="0.35">
      <c r="A37" s="1" t="s">
        <v>45</v>
      </c>
      <c r="B37" s="15"/>
      <c r="N37" s="1">
        <f t="shared" si="0"/>
        <v>8770</v>
      </c>
      <c r="O37" s="1">
        <v>8770</v>
      </c>
    </row>
    <row r="38" spans="1:18" x14ac:dyDescent="0.35">
      <c r="B38" s="15"/>
      <c r="K38" s="40"/>
      <c r="N38" s="1">
        <f t="shared" si="0"/>
        <v>8770</v>
      </c>
      <c r="O38" s="1">
        <v>8770</v>
      </c>
    </row>
    <row r="39" spans="1:18" x14ac:dyDescent="0.35">
      <c r="A39" s="1" t="s">
        <v>46</v>
      </c>
      <c r="B39" s="15"/>
      <c r="O39" s="1">
        <f>SUM(O3:O38)</f>
        <v>391268</v>
      </c>
      <c r="Q39" s="1">
        <f>SUM(Q3:Q38)</f>
        <v>0</v>
      </c>
    </row>
    <row r="40" spans="1:18" hidden="1" x14ac:dyDescent="0.35">
      <c r="B40" s="15"/>
    </row>
    <row r="41" spans="1:18" x14ac:dyDescent="0.35">
      <c r="A41" s="1" t="s">
        <v>47</v>
      </c>
      <c r="B41" s="15"/>
    </row>
    <row r="42" spans="1:18" x14ac:dyDescent="0.35">
      <c r="A42" s="1" t="s">
        <v>48</v>
      </c>
      <c r="B42" s="15"/>
    </row>
    <row r="43" spans="1:18" x14ac:dyDescent="0.35">
      <c r="A43" s="1" t="s">
        <v>49</v>
      </c>
      <c r="B43" s="4"/>
    </row>
    <row r="44" spans="1:18" x14ac:dyDescent="0.35">
      <c r="B44" s="4"/>
      <c r="I44" s="41"/>
    </row>
    <row r="45" spans="1:18" x14ac:dyDescent="0.35">
      <c r="A45" s="16"/>
      <c r="B45" s="4"/>
      <c r="G45" s="16"/>
      <c r="H45" s="16"/>
    </row>
    <row r="46" spans="1:18" x14ac:dyDescent="0.35">
      <c r="B46" s="4"/>
    </row>
    <row r="47" spans="1:18" ht="32" x14ac:dyDescent="0.7">
      <c r="B47" s="17"/>
      <c r="C47" s="18"/>
      <c r="D47" s="18"/>
      <c r="E47" s="18"/>
    </row>
    <row r="48" spans="1:18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O49" s="1" t="s">
        <v>74</v>
      </c>
    </row>
    <row r="50" spans="1:15" ht="32" x14ac:dyDescent="0.7">
      <c r="A50" s="1" t="s">
        <v>50</v>
      </c>
      <c r="B50" s="17"/>
      <c r="G50" s="15"/>
      <c r="H50" s="15"/>
    </row>
    <row r="51" spans="1:15" ht="32" x14ac:dyDescent="0.7">
      <c r="A51" s="15"/>
      <c r="B51" s="96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</row>
    <row r="53" spans="1:15" x14ac:dyDescent="0.35">
      <c r="B53" s="15"/>
      <c r="C53" s="15"/>
    </row>
  </sheetData>
  <mergeCells count="1">
    <mergeCell ref="B51:K51"/>
  </mergeCells>
  <pageMargins left="0.7" right="0.7" top="0.75" bottom="0.75" header="0.3" footer="0.3"/>
  <pageSetup paperSize="9" scale="72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V53"/>
  <sheetViews>
    <sheetView topLeftCell="A93" zoomScale="63" workbookViewId="0">
      <selection activeCell="B7" sqref="B7"/>
    </sheetView>
  </sheetViews>
  <sheetFormatPr defaultColWidth="9" defaultRowHeight="14.5" x14ac:dyDescent="0.35"/>
  <cols>
    <col min="1" max="1" width="9.1796875" style="1" customWidth="1"/>
    <col min="2" max="2" width="15.26953125" style="1" customWidth="1"/>
    <col min="3" max="3" width="9.1796875" style="1" customWidth="1"/>
    <col min="4" max="4" width="16.7265625" style="1" customWidth="1"/>
    <col min="5" max="8" width="9.1796875" style="1" customWidth="1"/>
    <col min="9" max="9" width="14.54296875" style="1" customWidth="1"/>
    <col min="10" max="11" width="9.1796875" style="1" hidden="1" customWidth="1"/>
    <col min="12" max="17" width="9.1796875" style="1" customWidth="1"/>
    <col min="18" max="18" width="0" style="1" hidden="1"/>
    <col min="19" max="256" width="9.1796875" style="1" customWidth="1"/>
  </cols>
  <sheetData>
    <row r="1" spans="2:9" ht="23.5" x14ac:dyDescent="0.55000000000000004">
      <c r="B1" s="2" t="s">
        <v>62</v>
      </c>
    </row>
    <row r="2" spans="2:9" x14ac:dyDescent="0.35">
      <c r="B2" s="1" t="str">
        <f>'FROM BOREHOLE'!B3</f>
        <v>P.O BOX 9473-00200 NAIROBI</v>
      </c>
    </row>
    <row r="3" spans="2:9" ht="18.5" x14ac:dyDescent="0.45">
      <c r="B3" s="3" t="s">
        <v>0</v>
      </c>
    </row>
    <row r="4" spans="2:9" x14ac:dyDescent="0.35">
      <c r="H4" s="1" t="s">
        <v>6</v>
      </c>
      <c r="I4" s="1">
        <f>'FROM BOREHOLE'!H4+37-1</f>
        <v>20242037</v>
      </c>
    </row>
    <row r="6" spans="2:9" x14ac:dyDescent="0.35">
      <c r="B6" s="1" t="s">
        <v>111</v>
      </c>
      <c r="D6" s="4">
        <f>meter!A38</f>
        <v>0</v>
      </c>
    </row>
    <row r="9" spans="2:9" x14ac:dyDescent="0.35">
      <c r="D9" s="22"/>
    </row>
    <row r="10" spans="2:9" x14ac:dyDescent="0.35">
      <c r="B10" s="1" t="s">
        <v>1</v>
      </c>
      <c r="D10" s="5" t="str">
        <f>'FROM BOREHOLE'!C10</f>
        <v>29TH JAN 2025</v>
      </c>
    </row>
    <row r="12" spans="2:9" x14ac:dyDescent="0.35">
      <c r="B12" s="1" t="s">
        <v>2</v>
      </c>
      <c r="D12" s="62" t="str">
        <f>'FROM BOREHOLE'!C12</f>
        <v>5TH FEB 2026</v>
      </c>
    </row>
    <row r="13" spans="2:9" x14ac:dyDescent="0.35">
      <c r="C13" s="1" t="s">
        <v>31</v>
      </c>
    </row>
    <row r="15" spans="2:9" ht="29" x14ac:dyDescent="0.35">
      <c r="B15" s="7" t="s">
        <v>3</v>
      </c>
      <c r="D15" s="7" t="s">
        <v>4</v>
      </c>
      <c r="F15" s="1" t="s">
        <v>5</v>
      </c>
    </row>
    <row r="16" spans="2:9" x14ac:dyDescent="0.35">
      <c r="B16" s="8">
        <f>meter!D38</f>
        <v>0</v>
      </c>
      <c r="C16" s="8"/>
      <c r="D16" s="8">
        <f>meter!E38</f>
        <v>0</v>
      </c>
      <c r="E16" s="8" t="s">
        <v>17</v>
      </c>
      <c r="F16" s="9">
        <f>D16-B16</f>
        <v>0</v>
      </c>
    </row>
    <row r="17" spans="2:8" x14ac:dyDescent="0.35">
      <c r="F17" s="1" t="s">
        <v>41</v>
      </c>
    </row>
    <row r="18" spans="2:8" x14ac:dyDescent="0.35">
      <c r="D18" s="1" t="s">
        <v>23</v>
      </c>
      <c r="E18" s="1" t="s">
        <v>19</v>
      </c>
      <c r="F18" s="11"/>
    </row>
    <row r="19" spans="2:8" ht="15.5" x14ac:dyDescent="0.35">
      <c r="B19" s="10"/>
    </row>
    <row r="20" spans="2:8" x14ac:dyDescent="0.35">
      <c r="D20" s="1" t="s">
        <v>9</v>
      </c>
      <c r="E20" s="1" t="s">
        <v>16</v>
      </c>
      <c r="F20" s="1">
        <f>meter!H38</f>
        <v>0</v>
      </c>
    </row>
    <row r="24" spans="2:8" x14ac:dyDescent="0.35">
      <c r="F24" s="11"/>
    </row>
    <row r="25" spans="2:8" x14ac:dyDescent="0.35">
      <c r="F25" s="11"/>
    </row>
    <row r="27" spans="2:8" x14ac:dyDescent="0.35">
      <c r="D27" s="12"/>
      <c r="E27" s="12"/>
      <c r="F27" s="11"/>
    </row>
    <row r="28" spans="2:8" x14ac:dyDescent="0.35">
      <c r="F28" s="11"/>
    </row>
    <row r="29" spans="2:8" x14ac:dyDescent="0.35">
      <c r="F29" s="11"/>
    </row>
    <row r="30" spans="2:8" x14ac:dyDescent="0.35">
      <c r="D30" s="1" t="s">
        <v>10</v>
      </c>
      <c r="E30" s="1" t="s">
        <v>19</v>
      </c>
      <c r="F30" s="11">
        <f>SUM(F17:F29)</f>
        <v>0</v>
      </c>
      <c r="H30" s="13"/>
    </row>
    <row r="31" spans="2:8" x14ac:dyDescent="0.35">
      <c r="F31" s="11"/>
    </row>
    <row r="32" spans="2:8" x14ac:dyDescent="0.35">
      <c r="D32" s="1" t="s">
        <v>25</v>
      </c>
      <c r="F32" s="11">
        <f>meter!L37</f>
        <v>0</v>
      </c>
    </row>
    <row r="33" spans="1:17" x14ac:dyDescent="0.35">
      <c r="F33" s="11"/>
    </row>
    <row r="34" spans="1:17" x14ac:dyDescent="0.35">
      <c r="D34" s="1" t="s">
        <v>55</v>
      </c>
      <c r="F34" s="13">
        <f>F30-F32</f>
        <v>0</v>
      </c>
    </row>
    <row r="35" spans="1:17" ht="15.5" x14ac:dyDescent="0.35">
      <c r="C35" s="10" t="s">
        <v>11</v>
      </c>
    </row>
    <row r="36" spans="1:17" ht="18.5" x14ac:dyDescent="0.45">
      <c r="A36" s="1" t="s">
        <v>44</v>
      </c>
      <c r="B36" s="14"/>
    </row>
    <row r="37" spans="1:17" x14ac:dyDescent="0.35">
      <c r="A37" s="1" t="s">
        <v>45</v>
      </c>
      <c r="B37" s="15"/>
    </row>
    <row r="38" spans="1:17" x14ac:dyDescent="0.35">
      <c r="B38" s="15"/>
    </row>
    <row r="39" spans="1:17" x14ac:dyDescent="0.35">
      <c r="A39" s="1" t="s">
        <v>46</v>
      </c>
      <c r="B39" s="15"/>
      <c r="Q39" s="1">
        <f>SUM(Q3:Q38)</f>
        <v>0</v>
      </c>
    </row>
    <row r="40" spans="1:17" hidden="1" x14ac:dyDescent="0.35">
      <c r="B40" s="15"/>
    </row>
    <row r="41" spans="1:17" x14ac:dyDescent="0.35">
      <c r="A41" s="1" t="s">
        <v>47</v>
      </c>
      <c r="B41" s="15"/>
    </row>
    <row r="42" spans="1:17" x14ac:dyDescent="0.35">
      <c r="A42" s="1" t="s">
        <v>48</v>
      </c>
      <c r="B42" s="15"/>
    </row>
    <row r="43" spans="1:17" x14ac:dyDescent="0.35">
      <c r="A43" s="1" t="s">
        <v>49</v>
      </c>
      <c r="B43" s="4"/>
    </row>
    <row r="44" spans="1:17" x14ac:dyDescent="0.35">
      <c r="B44" s="4"/>
      <c r="I44" s="41"/>
    </row>
    <row r="45" spans="1:17" x14ac:dyDescent="0.35">
      <c r="A45" s="16"/>
      <c r="B45" s="4"/>
      <c r="G45" s="16"/>
      <c r="H45" s="16"/>
    </row>
    <row r="46" spans="1:17" x14ac:dyDescent="0.35">
      <c r="B46" s="4"/>
    </row>
    <row r="47" spans="1:17" ht="32" x14ac:dyDescent="0.7">
      <c r="B47" s="75"/>
      <c r="C47" s="18"/>
      <c r="D47" s="18"/>
      <c r="E47" s="18"/>
    </row>
    <row r="48" spans="1:17" x14ac:dyDescent="0.35">
      <c r="B48" s="16"/>
      <c r="C48" s="16"/>
      <c r="D48" s="16"/>
      <c r="E48" s="16"/>
      <c r="F48" s="16"/>
    </row>
    <row r="49" spans="1:15" x14ac:dyDescent="0.35">
      <c r="A49" s="15"/>
      <c r="B49" s="16"/>
      <c r="O49" s="1" t="s">
        <v>74</v>
      </c>
    </row>
    <row r="50" spans="1:15" ht="32" x14ac:dyDescent="0.7">
      <c r="A50" s="1" t="s">
        <v>50</v>
      </c>
      <c r="B50" s="17"/>
      <c r="G50" s="15"/>
      <c r="H50" s="15"/>
    </row>
    <row r="51" spans="1:15" ht="32" x14ac:dyDescent="0.7">
      <c r="B51" s="96"/>
      <c r="C51" s="94"/>
      <c r="D51" s="94"/>
      <c r="E51" s="94"/>
      <c r="F51" s="94"/>
      <c r="G51" s="94"/>
      <c r="H51" s="94"/>
      <c r="I51" s="94"/>
      <c r="J51" s="94"/>
      <c r="K51" s="95"/>
    </row>
    <row r="52" spans="1:15" x14ac:dyDescent="0.35">
      <c r="A52" s="15"/>
      <c r="B52" s="15"/>
      <c r="C52" s="4"/>
    </row>
    <row r="53" spans="1:15" x14ac:dyDescent="0.35">
      <c r="A53" s="15"/>
      <c r="B53" s="15"/>
      <c r="C53" s="15"/>
    </row>
  </sheetData>
  <mergeCells count="1">
    <mergeCell ref="B51:K51"/>
  </mergeCells>
  <pageMargins left="0.7" right="0.7" top="0.75" bottom="0.75" header="0.3" footer="0.3"/>
  <pageSetup paperSize="9" scale="53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6441-1378-4EF0-9B28-034B3774CB6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L16:M22"/>
  <sheetViews>
    <sheetView workbookViewId="0">
      <selection activeCell="D12" sqref="D12"/>
    </sheetView>
  </sheetViews>
  <sheetFormatPr defaultColWidth="9" defaultRowHeight="14.5" x14ac:dyDescent="0.35"/>
  <sheetData>
    <row r="16" spans="12:12" x14ac:dyDescent="0.35">
      <c r="L16">
        <v>101456</v>
      </c>
    </row>
    <row r="17" spans="12:13" x14ac:dyDescent="0.35">
      <c r="L17">
        <v>21</v>
      </c>
    </row>
    <row r="18" spans="12:13" x14ac:dyDescent="0.35">
      <c r="L18">
        <v>1364</v>
      </c>
    </row>
    <row r="19" spans="12:13" x14ac:dyDescent="0.35">
      <c r="L19">
        <v>81411</v>
      </c>
      <c r="M19" t="s">
        <v>64</v>
      </c>
    </row>
    <row r="21" spans="12:13" x14ac:dyDescent="0.35">
      <c r="L21">
        <f>L16-L19</f>
        <v>20045</v>
      </c>
    </row>
    <row r="22" spans="12:13" x14ac:dyDescent="0.35">
      <c r="L22">
        <f>L19-55000</f>
        <v>26411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E1:K45"/>
  <sheetViews>
    <sheetView workbookViewId="0">
      <selection activeCell="J2" sqref="J2"/>
    </sheetView>
  </sheetViews>
  <sheetFormatPr defaultColWidth="9" defaultRowHeight="14.5" x14ac:dyDescent="0.35"/>
  <cols>
    <col min="1" max="4" width="10" customWidth="1"/>
    <col min="5" max="5" width="11.54296875" style="60" customWidth="1"/>
    <col min="6" max="8" width="10" customWidth="1"/>
    <col min="9" max="9" width="10.54296875" style="60" customWidth="1"/>
    <col min="10" max="11" width="9.1796875" style="60" customWidth="1"/>
    <col min="12" max="256" width="10" customWidth="1"/>
  </cols>
  <sheetData>
    <row r="1" spans="9:11" x14ac:dyDescent="0.35">
      <c r="I1" s="60" t="s">
        <v>67</v>
      </c>
      <c r="J1" s="60" t="s">
        <v>68</v>
      </c>
      <c r="K1" s="60" t="s">
        <v>69</v>
      </c>
    </row>
    <row r="2" spans="9:11" x14ac:dyDescent="0.35">
      <c r="I2" s="60">
        <v>8300</v>
      </c>
      <c r="J2" s="60">
        <v>21000</v>
      </c>
      <c r="K2" s="60">
        <v>9962</v>
      </c>
    </row>
    <row r="3" spans="9:11" x14ac:dyDescent="0.35">
      <c r="I3" s="60">
        <v>9608</v>
      </c>
      <c r="J3" s="60">
        <v>9962</v>
      </c>
      <c r="K3" s="60">
        <v>10623</v>
      </c>
    </row>
    <row r="4" spans="9:11" x14ac:dyDescent="0.35">
      <c r="I4" s="60">
        <v>9608</v>
      </c>
      <c r="J4" s="60">
        <v>11039</v>
      </c>
      <c r="K4" s="60">
        <v>8510</v>
      </c>
    </row>
    <row r="5" spans="9:11" x14ac:dyDescent="0.35">
      <c r="I5" s="60">
        <v>7525</v>
      </c>
      <c r="J5" s="60">
        <v>10117</v>
      </c>
      <c r="K5" s="60">
        <v>10100</v>
      </c>
    </row>
    <row r="6" spans="9:11" x14ac:dyDescent="0.35">
      <c r="I6" s="60">
        <v>11000</v>
      </c>
      <c r="J6" s="60">
        <v>10778</v>
      </c>
    </row>
    <row r="7" spans="9:11" x14ac:dyDescent="0.35">
      <c r="I7" s="60">
        <v>8985</v>
      </c>
      <c r="J7" s="60">
        <v>10750</v>
      </c>
    </row>
    <row r="8" spans="9:11" x14ac:dyDescent="0.35">
      <c r="I8" s="60">
        <v>7857</v>
      </c>
      <c r="J8" s="60">
        <v>8510</v>
      </c>
    </row>
    <row r="9" spans="9:11" x14ac:dyDescent="0.35">
      <c r="I9" s="60">
        <v>6000</v>
      </c>
      <c r="J9" s="60">
        <v>11230</v>
      </c>
    </row>
    <row r="10" spans="9:11" x14ac:dyDescent="0.35">
      <c r="I10" s="60">
        <v>9005</v>
      </c>
      <c r="J10" s="60">
        <v>8500</v>
      </c>
    </row>
    <row r="11" spans="9:11" x14ac:dyDescent="0.35">
      <c r="I11" s="60">
        <v>10665</v>
      </c>
      <c r="J11" s="60">
        <v>10590</v>
      </c>
    </row>
    <row r="12" spans="9:11" x14ac:dyDescent="0.35">
      <c r="I12" s="60">
        <v>9335</v>
      </c>
      <c r="J12" s="60">
        <v>10400</v>
      </c>
    </row>
    <row r="13" spans="9:11" x14ac:dyDescent="0.35">
      <c r="I13" s="60">
        <v>8040</v>
      </c>
      <c r="J13" s="60">
        <v>10000</v>
      </c>
    </row>
    <row r="14" spans="9:11" x14ac:dyDescent="0.35">
      <c r="I14" s="60">
        <v>8000</v>
      </c>
      <c r="J14" s="60">
        <v>10840</v>
      </c>
    </row>
    <row r="15" spans="9:11" x14ac:dyDescent="0.35">
      <c r="I15" s="60">
        <v>10560</v>
      </c>
      <c r="J15" s="60">
        <v>10200</v>
      </c>
      <c r="K15" s="60">
        <v>11200</v>
      </c>
    </row>
    <row r="16" spans="9:11" x14ac:dyDescent="0.35">
      <c r="I16" s="60">
        <v>11000</v>
      </c>
      <c r="J16" s="60">
        <v>10225</v>
      </c>
      <c r="K16" s="60">
        <v>11360</v>
      </c>
    </row>
    <row r="17" spans="9:11" x14ac:dyDescent="0.35">
      <c r="I17" s="60">
        <v>9421</v>
      </c>
      <c r="J17" s="60">
        <v>9000</v>
      </c>
      <c r="K17" s="60">
        <v>9787</v>
      </c>
    </row>
    <row r="18" spans="9:11" x14ac:dyDescent="0.35">
      <c r="I18" s="60">
        <v>10000</v>
      </c>
      <c r="J18" s="60">
        <v>9945</v>
      </c>
      <c r="K18" s="60">
        <v>9130</v>
      </c>
    </row>
    <row r="19" spans="9:11" x14ac:dyDescent="0.35">
      <c r="I19" s="60">
        <v>10700</v>
      </c>
      <c r="J19" s="60">
        <v>10000</v>
      </c>
      <c r="K19" s="60">
        <v>10250</v>
      </c>
    </row>
    <row r="20" spans="9:11" x14ac:dyDescent="0.35">
      <c r="I20" s="60">
        <v>10055</v>
      </c>
      <c r="J20" s="60">
        <v>5000</v>
      </c>
      <c r="K20" s="60">
        <v>10740</v>
      </c>
    </row>
    <row r="21" spans="9:11" x14ac:dyDescent="0.35">
      <c r="I21" s="60">
        <v>10200</v>
      </c>
      <c r="J21" s="60">
        <v>8900</v>
      </c>
      <c r="K21" s="60">
        <v>10910</v>
      </c>
    </row>
    <row r="22" spans="9:11" x14ac:dyDescent="0.35">
      <c r="I22" s="60">
        <v>1977</v>
      </c>
      <c r="J22" s="60">
        <v>9962</v>
      </c>
      <c r="K22" s="60">
        <v>9000</v>
      </c>
    </row>
    <row r="23" spans="9:11" x14ac:dyDescent="0.35">
      <c r="I23" s="60">
        <v>10155</v>
      </c>
      <c r="J23" s="60">
        <v>10583</v>
      </c>
      <c r="K23" s="60">
        <v>10353</v>
      </c>
    </row>
    <row r="24" spans="9:11" x14ac:dyDescent="0.35">
      <c r="I24" s="60">
        <v>10000</v>
      </c>
      <c r="J24" s="60">
        <v>11200</v>
      </c>
      <c r="K24" s="60">
        <v>10910</v>
      </c>
    </row>
    <row r="25" spans="9:11" x14ac:dyDescent="0.35">
      <c r="I25" s="60">
        <v>8000</v>
      </c>
      <c r="J25" s="60">
        <v>9930</v>
      </c>
      <c r="K25" s="60">
        <v>8930</v>
      </c>
    </row>
    <row r="26" spans="9:11" x14ac:dyDescent="0.35">
      <c r="I26" s="60">
        <v>9925</v>
      </c>
      <c r="J26" s="60">
        <v>8662</v>
      </c>
      <c r="K26" s="60">
        <v>1200</v>
      </c>
    </row>
    <row r="27" spans="9:11" x14ac:dyDescent="0.35">
      <c r="I27" s="60">
        <v>9840</v>
      </c>
      <c r="J27" s="60">
        <v>11300</v>
      </c>
      <c r="K27" s="60">
        <v>8770</v>
      </c>
    </row>
    <row r="28" spans="9:11" x14ac:dyDescent="0.35">
      <c r="I28" s="60">
        <v>8755</v>
      </c>
      <c r="J28" s="60">
        <v>2200</v>
      </c>
      <c r="K28" s="60">
        <v>10009</v>
      </c>
    </row>
    <row r="29" spans="9:11" x14ac:dyDescent="0.35">
      <c r="I29" s="60">
        <v>3000</v>
      </c>
      <c r="J29" s="60">
        <v>5200</v>
      </c>
      <c r="K29" s="60">
        <v>10300</v>
      </c>
    </row>
    <row r="30" spans="9:11" x14ac:dyDescent="0.35">
      <c r="I30" s="60">
        <v>8000</v>
      </c>
      <c r="J30" s="60">
        <v>10910</v>
      </c>
      <c r="K30" s="60">
        <v>8930</v>
      </c>
    </row>
    <row r="31" spans="9:11" x14ac:dyDescent="0.35">
      <c r="I31" s="60">
        <v>10000</v>
      </c>
      <c r="J31" s="60">
        <v>9400</v>
      </c>
      <c r="K31" s="60">
        <v>11230</v>
      </c>
    </row>
    <row r="32" spans="9:11" x14ac:dyDescent="0.35">
      <c r="I32" s="60">
        <v>10000</v>
      </c>
      <c r="J32" s="60">
        <v>10860</v>
      </c>
      <c r="K32" s="60">
        <v>6000</v>
      </c>
    </row>
    <row r="33" spans="5:11" x14ac:dyDescent="0.35">
      <c r="I33" s="60">
        <v>5520</v>
      </c>
      <c r="K33" s="60">
        <v>8500</v>
      </c>
    </row>
    <row r="34" spans="5:11" x14ac:dyDescent="0.35">
      <c r="I34" s="60">
        <v>9805</v>
      </c>
      <c r="K34" s="60">
        <v>10430</v>
      </c>
    </row>
    <row r="35" spans="5:11" x14ac:dyDescent="0.35">
      <c r="I35" s="60">
        <v>20000</v>
      </c>
      <c r="K35" s="60">
        <v>10000</v>
      </c>
    </row>
    <row r="36" spans="5:11" x14ac:dyDescent="0.35">
      <c r="E36" s="60">
        <v>119472</v>
      </c>
      <c r="I36" s="60">
        <v>7000</v>
      </c>
      <c r="K36" s="60">
        <v>10000</v>
      </c>
    </row>
    <row r="37" spans="5:11" x14ac:dyDescent="0.35">
      <c r="E37" s="60">
        <v>64399</v>
      </c>
      <c r="I37" s="60">
        <v>5000</v>
      </c>
      <c r="K37" s="60">
        <v>11000</v>
      </c>
    </row>
    <row r="38" spans="5:11" x14ac:dyDescent="0.35">
      <c r="E38" s="60">
        <f>SUM(E36:E37)</f>
        <v>183871</v>
      </c>
      <c r="I38" s="60">
        <v>20000</v>
      </c>
      <c r="K38" s="60">
        <v>8950</v>
      </c>
    </row>
    <row r="39" spans="5:11" x14ac:dyDescent="0.35">
      <c r="I39" s="60">
        <v>13000</v>
      </c>
      <c r="K39" s="60">
        <v>11230</v>
      </c>
    </row>
    <row r="40" spans="5:11" x14ac:dyDescent="0.35">
      <c r="I40" s="60">
        <v>10910</v>
      </c>
      <c r="K40" s="60">
        <v>400</v>
      </c>
    </row>
    <row r="41" spans="5:11" x14ac:dyDescent="0.35">
      <c r="K41" s="60">
        <v>7800</v>
      </c>
    </row>
    <row r="42" spans="5:11" x14ac:dyDescent="0.35">
      <c r="K42" s="60">
        <v>1000</v>
      </c>
    </row>
    <row r="43" spans="5:11" x14ac:dyDescent="0.35">
      <c r="K43" s="60">
        <v>8000</v>
      </c>
    </row>
    <row r="44" spans="5:11" x14ac:dyDescent="0.35">
      <c r="K44" s="60">
        <v>6294</v>
      </c>
    </row>
    <row r="45" spans="5:11" x14ac:dyDescent="0.35">
      <c r="I45" s="61">
        <f>SUM(I2:I44)</f>
        <v>366751</v>
      </c>
      <c r="J45" s="61">
        <f>SUM(J2:J44)</f>
        <v>307193</v>
      </c>
      <c r="K45" s="61">
        <f>SUM(K2:K44)</f>
        <v>301808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33</vt:i4>
      </vt:variant>
    </vt:vector>
  </HeadingPairs>
  <TitlesOfParts>
    <vt:vector size="70" baseType="lpstr">
      <vt:lpstr>FROM BOREHOLE</vt:lpstr>
      <vt:lpstr>OUT BOREHOLE</vt:lpstr>
      <vt:lpstr>NEW OUT B</vt:lpstr>
      <vt:lpstr>LORRY</vt:lpstr>
      <vt:lpstr>PASSION</vt:lpstr>
      <vt:lpstr>BLOCK A</vt:lpstr>
      <vt:lpstr>BLOCK B</vt:lpstr>
      <vt:lpstr>NEW BLOCK</vt:lpstr>
      <vt:lpstr>HOUSE JOHN</vt:lpstr>
      <vt:lpstr>KAYAVA</vt:lpstr>
      <vt:lpstr>VINCENT</vt:lpstr>
      <vt:lpstr>WAMALWA</vt:lpstr>
      <vt:lpstr>MWITA</vt:lpstr>
      <vt:lpstr>NYARANDI</vt:lpstr>
      <vt:lpstr>NAMBOKAH</vt:lpstr>
      <vt:lpstr>KIMANI</vt:lpstr>
      <vt:lpstr>AGNES</vt:lpstr>
      <vt:lpstr>NANCY</vt:lpstr>
      <vt:lpstr>KURGAT</vt:lpstr>
      <vt:lpstr>JANE </vt:lpstr>
      <vt:lpstr>BRIAN</vt:lpstr>
      <vt:lpstr>UKA</vt:lpstr>
      <vt:lpstr>DANSTON</vt:lpstr>
      <vt:lpstr>ERICK</vt:lpstr>
      <vt:lpstr>PAMELA</vt:lpstr>
      <vt:lpstr>BISMARK</vt:lpstr>
      <vt:lpstr>PATRICK</vt:lpstr>
      <vt:lpstr>JACKY</vt:lpstr>
      <vt:lpstr>NAOMI</vt:lpstr>
      <vt:lpstr>JOSEPH</vt:lpstr>
      <vt:lpstr>meter</vt:lpstr>
      <vt:lpstr>N6</vt:lpstr>
      <vt:lpstr>N7</vt:lpstr>
      <vt:lpstr>Sheet3</vt:lpstr>
      <vt:lpstr>Sheet4</vt:lpstr>
      <vt:lpstr>Sheet1</vt:lpstr>
      <vt:lpstr>Sheet2</vt:lpstr>
      <vt:lpstr>AGNES!Print_Area</vt:lpstr>
      <vt:lpstr>BISMARK!Print_Area</vt:lpstr>
      <vt:lpstr>'BLOCK A'!Print_Area</vt:lpstr>
      <vt:lpstr>'BLOCK B'!Print_Area</vt:lpstr>
      <vt:lpstr>BRIAN!Print_Area</vt:lpstr>
      <vt:lpstr>DANSTON!Print_Area</vt:lpstr>
      <vt:lpstr>ERICK!Print_Area</vt:lpstr>
      <vt:lpstr>'FROM BOREHOLE'!Print_Area</vt:lpstr>
      <vt:lpstr>'HOUSE JOHN'!Print_Area</vt:lpstr>
      <vt:lpstr>JACKY!Print_Area</vt:lpstr>
      <vt:lpstr>'JANE '!Print_Area</vt:lpstr>
      <vt:lpstr>JOSEPH!Print_Area</vt:lpstr>
      <vt:lpstr>KAYAVA!Print_Area</vt:lpstr>
      <vt:lpstr>KIMANI!Print_Area</vt:lpstr>
      <vt:lpstr>KURGAT!Print_Area</vt:lpstr>
      <vt:lpstr>LORRY!Print_Area</vt:lpstr>
      <vt:lpstr>meter!Print_Area</vt:lpstr>
      <vt:lpstr>MWITA!Print_Area</vt:lpstr>
      <vt:lpstr>'N6'!Print_Area</vt:lpstr>
      <vt:lpstr>'N7'!Print_Area</vt:lpstr>
      <vt:lpstr>NAMBOKAH!Print_Area</vt:lpstr>
      <vt:lpstr>NANCY!Print_Area</vt:lpstr>
      <vt:lpstr>NAOMI!Print_Area</vt:lpstr>
      <vt:lpstr>'NEW BLOCK'!Print_Area</vt:lpstr>
      <vt:lpstr>'NEW OUT B'!Print_Area</vt:lpstr>
      <vt:lpstr>NYARANDI!Print_Area</vt:lpstr>
      <vt:lpstr>'OUT BOREHOLE'!Print_Area</vt:lpstr>
      <vt:lpstr>PAMELA!Print_Area</vt:lpstr>
      <vt:lpstr>PASSION!Print_Area</vt:lpstr>
      <vt:lpstr>PATRICK!Print_Area</vt:lpstr>
      <vt:lpstr>UKA!Print_Area</vt:lpstr>
      <vt:lpstr>VINCENT!Print_Area</vt:lpstr>
      <vt:lpstr>WAMALWA!Print_Area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FRED;SAMEDHA APTS</dc:creator>
  <cp:keywords>SAMEDHA SUITS</cp:keywords>
  <cp:lastModifiedBy>samwel ngara</cp:lastModifiedBy>
  <cp:lastPrinted>2026-01-20T19:21:07Z</cp:lastPrinted>
  <dcterms:created xsi:type="dcterms:W3CDTF">2012-07-29T04:22:22Z</dcterms:created>
  <dcterms:modified xsi:type="dcterms:W3CDTF">2026-01-30T19:07:15Z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ef798181961c43b5bdb7800dd739d27e</vt:lpwstr>
  </property>
</Properties>
</file>