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work documents\KISAJU\PAYMENTS\"/>
    </mc:Choice>
  </mc:AlternateContent>
  <xr:revisionPtr revIDLastSave="0" documentId="13_ncr:1_{040362E8-DD7C-45AB-BBAD-574FBB6532A9}" xr6:coauthVersionLast="47" xr6:coauthVersionMax="47" xr10:uidLastSave="{00000000-0000-0000-0000-000000000000}"/>
  <bookViews>
    <workbookView xWindow="-110" yWindow="-110" windowWidth="19420" windowHeight="11020" xr2:uid="{52B9E8D4-1583-439E-8CA3-DA80711C6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C23" i="1"/>
  <c r="D3" i="1"/>
  <c r="B23" i="1"/>
  <c r="D23" i="1" l="1"/>
</calcChain>
</file>

<file path=xl/sharedStrings.xml><?xml version="1.0" encoding="utf-8"?>
<sst xmlns="http://schemas.openxmlformats.org/spreadsheetml/2006/main" count="79" uniqueCount="78">
  <si>
    <t>NAME</t>
  </si>
  <si>
    <t>VINCENT</t>
  </si>
  <si>
    <t>WAMALWA</t>
  </si>
  <si>
    <t>MWITA</t>
  </si>
  <si>
    <t>ANDREW NYARANDI</t>
  </si>
  <si>
    <t>NAMBOKAH</t>
  </si>
  <si>
    <t>KIMANI</t>
  </si>
  <si>
    <t>AGNES</t>
  </si>
  <si>
    <t>NANCY</t>
  </si>
  <si>
    <t>KURGAT</t>
  </si>
  <si>
    <t>JANE MWANGI</t>
  </si>
  <si>
    <t>BRIAN MUREITHI</t>
  </si>
  <si>
    <t>DAN UKA</t>
  </si>
  <si>
    <t>DANSTONE</t>
  </si>
  <si>
    <t>ERICK</t>
  </si>
  <si>
    <t>PAMELA</t>
  </si>
  <si>
    <t xml:space="preserve">BISMARK </t>
  </si>
  <si>
    <t>PATRICK</t>
  </si>
  <si>
    <t>JACKY</t>
  </si>
  <si>
    <t>TOTAL</t>
  </si>
  <si>
    <t>AMOUNT DUE</t>
  </si>
  <si>
    <t>AMOUNT PAID</t>
  </si>
  <si>
    <t>BALANCE</t>
  </si>
  <si>
    <t>DETAILS</t>
  </si>
  <si>
    <t>JOSEPH</t>
  </si>
  <si>
    <r>
      <t xml:space="preserve">                                         </t>
    </r>
    <r>
      <rPr>
        <b/>
        <sz val="18"/>
        <color theme="3" tint="0.249977111117893"/>
        <rFont val="Aptos Narrow"/>
        <family val="2"/>
        <scheme val="minor"/>
      </rPr>
      <t xml:space="preserve">      KISAJU DEC 2025 CONSUMPTION PAYMENTS</t>
    </r>
  </si>
  <si>
    <t>O722745943</t>
  </si>
  <si>
    <t>23RD JAN 26</t>
  </si>
  <si>
    <t>O710438328</t>
  </si>
  <si>
    <t>NAOMI</t>
  </si>
  <si>
    <t>O721266625</t>
  </si>
  <si>
    <t>O720604109</t>
  </si>
  <si>
    <t>O723257239</t>
  </si>
  <si>
    <t>O722293481</t>
  </si>
  <si>
    <t>7TH JAN 26</t>
  </si>
  <si>
    <t>14TH DEC 25</t>
  </si>
  <si>
    <t>10TH JAN 26</t>
  </si>
  <si>
    <t>6TH JAN 26</t>
  </si>
  <si>
    <t>O725820469</t>
  </si>
  <si>
    <t>O720794007</t>
  </si>
  <si>
    <t>O720730181</t>
  </si>
  <si>
    <t>O724737123</t>
  </si>
  <si>
    <t>O724373053</t>
  </si>
  <si>
    <t>O721429990</t>
  </si>
  <si>
    <t>O722560819</t>
  </si>
  <si>
    <t>3RD JAN 26</t>
  </si>
  <si>
    <t>O721882651</t>
  </si>
  <si>
    <t>O731799947</t>
  </si>
  <si>
    <t>O708647008</t>
  </si>
  <si>
    <t>O721445362</t>
  </si>
  <si>
    <t>O722887436</t>
  </si>
  <si>
    <t>O729625967</t>
  </si>
  <si>
    <t>O722790775</t>
  </si>
  <si>
    <t>28TH JAN 26</t>
  </si>
  <si>
    <t>13TH JAN 26</t>
  </si>
  <si>
    <t>PREVIOUS</t>
  </si>
  <si>
    <t xml:space="preserve">ACC </t>
  </si>
  <si>
    <t>KSJ  1</t>
  </si>
  <si>
    <t>KSJ  2</t>
  </si>
  <si>
    <t>KSJ  3</t>
  </si>
  <si>
    <t>KSJ  4</t>
  </si>
  <si>
    <t>KSJ  5</t>
  </si>
  <si>
    <t>KSJ  6</t>
  </si>
  <si>
    <t>KSJ  7</t>
  </si>
  <si>
    <t>KSJ  8</t>
  </si>
  <si>
    <t>KSJ  9</t>
  </si>
  <si>
    <t>KSJ  10</t>
  </si>
  <si>
    <t>KSJ  11</t>
  </si>
  <si>
    <t>KSJ  12</t>
  </si>
  <si>
    <t>KSJ  13</t>
  </si>
  <si>
    <t>KSJ  14</t>
  </si>
  <si>
    <t>KSJ  15</t>
  </si>
  <si>
    <t>KSJ  16</t>
  </si>
  <si>
    <t>KSJ  17</t>
  </si>
  <si>
    <t>KSJ  18</t>
  </si>
  <si>
    <t>KSJ  19</t>
  </si>
  <si>
    <t>KSJ  20</t>
  </si>
  <si>
    <t>PAY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</si>
</sst>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3" tint="0.24997711111789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A8BB-00DB-4765-875B-B271D73DA149}">
  <dimension ref="A1:I23"/>
  <sheetViews>
    <sheetView tabSelected="1" topLeftCell="A3" workbookViewId="0">
      <selection activeCell="L11" sqref="L11"/>
    </sheetView>
  </sheetViews>
  <sheetFormatPr defaultRowHeight="14.5" x14ac:dyDescent="0.35"/>
  <cols>
    <col min="1" max="1" width="17.26953125" style="1" customWidth="1"/>
    <col min="2" max="2" width="12.1796875" customWidth="1"/>
    <col min="3" max="3" width="12.36328125" customWidth="1"/>
    <col min="4" max="4" width="8.26953125" customWidth="1"/>
    <col min="5" max="5" width="12.54296875" customWidth="1"/>
    <col min="6" max="6" width="11.08984375" customWidth="1"/>
    <col min="7" max="7" width="13.36328125" customWidth="1"/>
    <col min="8" max="8" width="13.7265625" customWidth="1"/>
  </cols>
  <sheetData>
    <row r="1" spans="1:9" s="2" customFormat="1" ht="28.5" customHeight="1" x14ac:dyDescent="0.55000000000000004">
      <c r="A1" s="2" t="s">
        <v>25</v>
      </c>
    </row>
    <row r="2" spans="1:9" s="1" customFormat="1" x14ac:dyDescent="0.35">
      <c r="A2" s="1" t="s">
        <v>0</v>
      </c>
      <c r="B2" s="1" t="s">
        <v>20</v>
      </c>
      <c r="C2" s="1" t="s">
        <v>21</v>
      </c>
      <c r="D2" s="1" t="s">
        <v>22</v>
      </c>
      <c r="E2" s="1" t="s">
        <v>23</v>
      </c>
      <c r="G2" s="1" t="s">
        <v>55</v>
      </c>
      <c r="H2" s="1" t="s">
        <v>56</v>
      </c>
      <c r="I2" s="1" t="s">
        <v>77</v>
      </c>
    </row>
    <row r="3" spans="1:9" x14ac:dyDescent="0.35">
      <c r="A3" s="1" t="s">
        <v>1</v>
      </c>
      <c r="B3">
        <v>6400</v>
      </c>
      <c r="C3">
        <v>6400</v>
      </c>
      <c r="D3">
        <f>B3-C3</f>
        <v>0</v>
      </c>
      <c r="E3" t="s">
        <v>26</v>
      </c>
      <c r="F3" t="s">
        <v>27</v>
      </c>
      <c r="G3">
        <v>2728</v>
      </c>
      <c r="H3" t="s">
        <v>57</v>
      </c>
      <c r="I3">
        <v>4139271</v>
      </c>
    </row>
    <row r="4" spans="1:9" x14ac:dyDescent="0.35">
      <c r="A4" s="1" t="s">
        <v>2</v>
      </c>
      <c r="B4">
        <v>2500</v>
      </c>
      <c r="C4">
        <v>2500</v>
      </c>
      <c r="D4">
        <f t="shared" ref="D4:D22" si="0">B4-C4</f>
        <v>0</v>
      </c>
      <c r="E4" t="s">
        <v>31</v>
      </c>
      <c r="F4" t="s">
        <v>35</v>
      </c>
      <c r="G4">
        <v>918</v>
      </c>
      <c r="H4" t="s">
        <v>58</v>
      </c>
      <c r="I4">
        <v>4139271</v>
      </c>
    </row>
    <row r="5" spans="1:9" x14ac:dyDescent="0.35">
      <c r="A5" s="1" t="s">
        <v>3</v>
      </c>
      <c r="B5">
        <v>300</v>
      </c>
      <c r="C5">
        <v>300</v>
      </c>
      <c r="D5">
        <f t="shared" si="0"/>
        <v>0</v>
      </c>
      <c r="E5" t="s">
        <v>32</v>
      </c>
      <c r="F5" t="s">
        <v>36</v>
      </c>
      <c r="G5">
        <v>67</v>
      </c>
      <c r="H5" t="s">
        <v>59</v>
      </c>
      <c r="I5">
        <v>4139271</v>
      </c>
    </row>
    <row r="6" spans="1:9" x14ac:dyDescent="0.35">
      <c r="A6" s="1" t="s">
        <v>4</v>
      </c>
      <c r="B6">
        <v>600</v>
      </c>
      <c r="C6">
        <v>2000</v>
      </c>
      <c r="D6">
        <f t="shared" si="0"/>
        <v>-1400</v>
      </c>
      <c r="E6" t="s">
        <v>39</v>
      </c>
      <c r="H6" t="s">
        <v>60</v>
      </c>
      <c r="I6">
        <v>4139271</v>
      </c>
    </row>
    <row r="7" spans="1:9" x14ac:dyDescent="0.35">
      <c r="A7" s="1" t="s">
        <v>5</v>
      </c>
      <c r="B7">
        <v>300</v>
      </c>
      <c r="D7">
        <f t="shared" si="0"/>
        <v>300</v>
      </c>
      <c r="E7" t="s">
        <v>40</v>
      </c>
      <c r="G7">
        <v>152</v>
      </c>
      <c r="H7" t="s">
        <v>61</v>
      </c>
      <c r="I7">
        <v>4139271</v>
      </c>
    </row>
    <row r="8" spans="1:9" x14ac:dyDescent="0.35">
      <c r="A8" s="1" t="s">
        <v>6</v>
      </c>
      <c r="B8">
        <v>500</v>
      </c>
      <c r="C8">
        <v>500</v>
      </c>
      <c r="D8">
        <f t="shared" si="0"/>
        <v>0</v>
      </c>
      <c r="E8" t="s">
        <v>38</v>
      </c>
      <c r="F8" t="s">
        <v>37</v>
      </c>
      <c r="G8">
        <v>33</v>
      </c>
      <c r="H8" t="s">
        <v>62</v>
      </c>
      <c r="I8">
        <v>4139271</v>
      </c>
    </row>
    <row r="9" spans="1:9" x14ac:dyDescent="0.35">
      <c r="A9" s="1" t="s">
        <v>7</v>
      </c>
      <c r="B9">
        <v>0</v>
      </c>
      <c r="C9">
        <v>0</v>
      </c>
      <c r="D9">
        <f t="shared" si="0"/>
        <v>0</v>
      </c>
      <c r="E9" t="s">
        <v>41</v>
      </c>
      <c r="G9">
        <v>15</v>
      </c>
      <c r="H9" t="s">
        <v>63</v>
      </c>
      <c r="I9">
        <v>4139271</v>
      </c>
    </row>
    <row r="10" spans="1:9" x14ac:dyDescent="0.35">
      <c r="A10" s="1" t="s">
        <v>8</v>
      </c>
      <c r="B10">
        <v>0</v>
      </c>
      <c r="C10">
        <v>0</v>
      </c>
      <c r="D10">
        <f t="shared" si="0"/>
        <v>0</v>
      </c>
      <c r="E10" t="s">
        <v>42</v>
      </c>
      <c r="G10">
        <v>289</v>
      </c>
      <c r="H10" t="s">
        <v>64</v>
      </c>
      <c r="I10">
        <v>4139271</v>
      </c>
    </row>
    <row r="11" spans="1:9" x14ac:dyDescent="0.35">
      <c r="A11" s="1" t="s">
        <v>9</v>
      </c>
      <c r="B11">
        <v>1100</v>
      </c>
      <c r="D11">
        <f t="shared" si="0"/>
        <v>1100</v>
      </c>
      <c r="E11" t="s">
        <v>43</v>
      </c>
      <c r="G11">
        <v>300</v>
      </c>
      <c r="H11" t="s">
        <v>65</v>
      </c>
      <c r="I11">
        <v>4139271</v>
      </c>
    </row>
    <row r="12" spans="1:9" x14ac:dyDescent="0.35">
      <c r="A12" s="1" t="s">
        <v>10</v>
      </c>
      <c r="B12">
        <v>1600</v>
      </c>
      <c r="C12">
        <v>1600</v>
      </c>
      <c r="D12">
        <f t="shared" si="0"/>
        <v>0</v>
      </c>
      <c r="E12" t="s">
        <v>44</v>
      </c>
      <c r="F12" t="s">
        <v>45</v>
      </c>
      <c r="G12">
        <v>235</v>
      </c>
      <c r="H12" t="s">
        <v>66</v>
      </c>
      <c r="I12">
        <v>4139271</v>
      </c>
    </row>
    <row r="13" spans="1:9" x14ac:dyDescent="0.35">
      <c r="A13" s="1" t="s">
        <v>11</v>
      </c>
      <c r="B13">
        <v>3100</v>
      </c>
      <c r="C13">
        <v>3100</v>
      </c>
      <c r="D13">
        <f t="shared" si="0"/>
        <v>0</v>
      </c>
      <c r="E13" t="s">
        <v>33</v>
      </c>
      <c r="F13" t="s">
        <v>34</v>
      </c>
      <c r="G13">
        <v>1164</v>
      </c>
      <c r="H13" t="s">
        <v>67</v>
      </c>
      <c r="I13">
        <v>4139271</v>
      </c>
    </row>
    <row r="14" spans="1:9" x14ac:dyDescent="0.35">
      <c r="A14" s="1" t="s">
        <v>12</v>
      </c>
      <c r="B14">
        <v>1600</v>
      </c>
      <c r="D14">
        <f t="shared" si="0"/>
        <v>1600</v>
      </c>
      <c r="E14" t="s">
        <v>46</v>
      </c>
      <c r="G14">
        <v>820</v>
      </c>
      <c r="H14" t="s">
        <v>68</v>
      </c>
      <c r="I14">
        <v>4139271</v>
      </c>
    </row>
    <row r="15" spans="1:9" x14ac:dyDescent="0.35">
      <c r="A15" s="1" t="s">
        <v>13</v>
      </c>
      <c r="B15">
        <v>5300</v>
      </c>
      <c r="C15">
        <v>5300</v>
      </c>
      <c r="D15">
        <f t="shared" si="0"/>
        <v>0</v>
      </c>
      <c r="E15" t="s">
        <v>47</v>
      </c>
      <c r="F15" t="s">
        <v>54</v>
      </c>
      <c r="G15">
        <v>724</v>
      </c>
      <c r="H15" t="s">
        <v>69</v>
      </c>
      <c r="I15">
        <v>4139271</v>
      </c>
    </row>
    <row r="16" spans="1:9" x14ac:dyDescent="0.35">
      <c r="A16" s="1" t="s">
        <v>14</v>
      </c>
      <c r="B16">
        <v>300</v>
      </c>
      <c r="C16">
        <v>300</v>
      </c>
      <c r="D16">
        <f t="shared" si="0"/>
        <v>0</v>
      </c>
      <c r="E16" t="s">
        <v>48</v>
      </c>
      <c r="G16">
        <v>155</v>
      </c>
      <c r="H16" t="s">
        <v>70</v>
      </c>
      <c r="I16">
        <v>4139271</v>
      </c>
    </row>
    <row r="17" spans="1:9" x14ac:dyDescent="0.35">
      <c r="A17" s="1" t="s">
        <v>15</v>
      </c>
      <c r="B17">
        <v>800</v>
      </c>
      <c r="C17">
        <v>800</v>
      </c>
      <c r="D17">
        <f t="shared" si="0"/>
        <v>0</v>
      </c>
      <c r="E17" t="s">
        <v>49</v>
      </c>
      <c r="F17" t="s">
        <v>34</v>
      </c>
      <c r="G17">
        <v>217</v>
      </c>
      <c r="H17" t="s">
        <v>71</v>
      </c>
      <c r="I17">
        <v>4139271</v>
      </c>
    </row>
    <row r="18" spans="1:9" x14ac:dyDescent="0.35">
      <c r="A18" s="1" t="s">
        <v>16</v>
      </c>
      <c r="B18">
        <v>500</v>
      </c>
      <c r="D18">
        <f t="shared" si="0"/>
        <v>500</v>
      </c>
      <c r="E18" t="s">
        <v>50</v>
      </c>
      <c r="G18">
        <v>302</v>
      </c>
      <c r="H18" t="s">
        <v>72</v>
      </c>
      <c r="I18">
        <v>4139271</v>
      </c>
    </row>
    <row r="19" spans="1:9" x14ac:dyDescent="0.35">
      <c r="A19" s="1" t="s">
        <v>17</v>
      </c>
      <c r="B19">
        <v>2600</v>
      </c>
      <c r="C19">
        <v>2600</v>
      </c>
      <c r="D19">
        <f t="shared" si="0"/>
        <v>0</v>
      </c>
      <c r="E19" t="s">
        <v>28</v>
      </c>
      <c r="F19" t="s">
        <v>53</v>
      </c>
      <c r="G19">
        <v>211</v>
      </c>
      <c r="H19" t="s">
        <v>73</v>
      </c>
      <c r="I19">
        <v>4139271</v>
      </c>
    </row>
    <row r="20" spans="1:9" x14ac:dyDescent="0.35">
      <c r="A20" s="1" t="s">
        <v>18</v>
      </c>
      <c r="B20">
        <v>6800</v>
      </c>
      <c r="D20">
        <f t="shared" si="0"/>
        <v>6800</v>
      </c>
      <c r="E20" t="s">
        <v>51</v>
      </c>
      <c r="G20">
        <v>117</v>
      </c>
      <c r="H20" t="s">
        <v>74</v>
      </c>
      <c r="I20">
        <v>4139271</v>
      </c>
    </row>
    <row r="21" spans="1:9" x14ac:dyDescent="0.35">
      <c r="A21" s="1" t="s">
        <v>24</v>
      </c>
      <c r="B21">
        <v>8700</v>
      </c>
      <c r="D21">
        <f t="shared" si="0"/>
        <v>8700</v>
      </c>
      <c r="E21" t="s">
        <v>52</v>
      </c>
      <c r="G21">
        <v>95</v>
      </c>
      <c r="H21" t="s">
        <v>75</v>
      </c>
      <c r="I21">
        <v>4139271</v>
      </c>
    </row>
    <row r="22" spans="1:9" x14ac:dyDescent="0.35">
      <c r="A22" s="1" t="s">
        <v>29</v>
      </c>
      <c r="B22">
        <v>5900</v>
      </c>
      <c r="C22">
        <v>5900</v>
      </c>
      <c r="D22">
        <f t="shared" si="0"/>
        <v>0</v>
      </c>
      <c r="E22" t="s">
        <v>30</v>
      </c>
      <c r="G22">
        <v>155</v>
      </c>
      <c r="H22" t="s">
        <v>76</v>
      </c>
      <c r="I22">
        <v>4139271</v>
      </c>
    </row>
    <row r="23" spans="1:9" s="1" customFormat="1" x14ac:dyDescent="0.35">
      <c r="A23" s="1" t="s">
        <v>19</v>
      </c>
      <c r="B23" s="1">
        <f>SUM(B3:B22)</f>
        <v>48900</v>
      </c>
      <c r="C23" s="1">
        <f t="shared" ref="C23:D23" si="1">SUM(C3:C22)</f>
        <v>31300</v>
      </c>
      <c r="D23" s="1">
        <f t="shared" si="1"/>
        <v>17600</v>
      </c>
    </row>
  </sheetData>
  <mergeCells count="1">
    <mergeCell ref="A1:XF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ngara</dc:creator>
  <cp:lastModifiedBy>samwel ngara</cp:lastModifiedBy>
  <dcterms:created xsi:type="dcterms:W3CDTF">2025-06-27T19:08:42Z</dcterms:created>
  <dcterms:modified xsi:type="dcterms:W3CDTF">2026-01-30T19:31:31Z</dcterms:modified>
</cp:coreProperties>
</file>