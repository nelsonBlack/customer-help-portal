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UMMA\"/>
    </mc:Choice>
  </mc:AlternateContent>
  <xr:revisionPtr revIDLastSave="0" documentId="13_ncr:1_{91361468-5AAF-4F6F-A71E-A075BDD2076D}" xr6:coauthVersionLast="47" xr6:coauthVersionMax="47" xr10:uidLastSave="{00000000-0000-0000-0000-000000000000}"/>
  <bookViews>
    <workbookView xWindow="-110" yWindow="-110" windowWidth="19420" windowHeight="11020" tabRatio="1000" firstSheet="34" activeTab="51" xr2:uid="{00000000-000D-0000-FFFF-FFFF00000000}"/>
  </bookViews>
  <sheets>
    <sheet name="1A" sheetId="1" r:id="rId1"/>
    <sheet name="2A" sheetId="2" r:id="rId2"/>
    <sheet name="3A" sheetId="3" r:id="rId3"/>
    <sheet name="4A" sheetId="4" r:id="rId4"/>
    <sheet name="5A" sheetId="5" r:id="rId5"/>
    <sheet name="6A" sheetId="6" r:id="rId6"/>
    <sheet name="1B" sheetId="7" r:id="rId7"/>
    <sheet name="2B" sheetId="8" r:id="rId8"/>
    <sheet name="3B" sheetId="9" r:id="rId9"/>
    <sheet name="4B" sheetId="10" r:id="rId10"/>
    <sheet name="5B" sheetId="11" r:id="rId11"/>
    <sheet name="6B" sheetId="12" r:id="rId12"/>
    <sheet name="1C" sheetId="13" r:id="rId13"/>
    <sheet name="2C" sheetId="14" r:id="rId14"/>
    <sheet name="3C" sheetId="15" r:id="rId15"/>
    <sheet name="4C" sheetId="16" r:id="rId16"/>
    <sheet name="5C" sheetId="17" r:id="rId17"/>
    <sheet name="6C" sheetId="18" r:id="rId18"/>
    <sheet name="1D" sheetId="19" r:id="rId19"/>
    <sheet name="2D" sheetId="20" r:id="rId20"/>
    <sheet name="3D" sheetId="21" r:id="rId21"/>
    <sheet name="4D" sheetId="22" r:id="rId22"/>
    <sheet name="5D" sheetId="23" r:id="rId23"/>
    <sheet name="6D" sheetId="24" r:id="rId24"/>
    <sheet name="1E" sheetId="25" r:id="rId25"/>
    <sheet name="2E" sheetId="26" r:id="rId26"/>
    <sheet name="3E" sheetId="27" r:id="rId27"/>
    <sheet name="4E" sheetId="28" r:id="rId28"/>
    <sheet name="5E" sheetId="29" r:id="rId29"/>
    <sheet name="6E" sheetId="30" r:id="rId30"/>
    <sheet name="7E" sheetId="31" r:id="rId31"/>
    <sheet name="1F" sheetId="32" r:id="rId32"/>
    <sheet name="2F" sheetId="33" r:id="rId33"/>
    <sheet name="3F" sheetId="34" r:id="rId34"/>
    <sheet name="4F" sheetId="35" r:id="rId35"/>
    <sheet name="36B" sheetId="36" state="hidden" r:id="rId36"/>
    <sheet name="5F" sheetId="37" r:id="rId37"/>
    <sheet name="6F" sheetId="38" r:id="rId38"/>
    <sheet name="7F" sheetId="39" r:id="rId39"/>
    <sheet name="1G" sheetId="40" r:id="rId40"/>
    <sheet name="2G" sheetId="41" r:id="rId41"/>
    <sheet name="3G" sheetId="42" r:id="rId42"/>
    <sheet name="4G" sheetId="43" r:id="rId43"/>
    <sheet name="5G" sheetId="44" r:id="rId44"/>
    <sheet name="6G" sheetId="45" r:id="rId45"/>
    <sheet name="1H" sheetId="46" r:id="rId46"/>
    <sheet name="2H" sheetId="47" r:id="rId47"/>
    <sheet name="3H" sheetId="48" r:id="rId48"/>
    <sheet name="4H" sheetId="49" r:id="rId49"/>
    <sheet name="5H" sheetId="50" r:id="rId50"/>
    <sheet name="6H" sheetId="51" r:id="rId51"/>
    <sheet name="meter" sheetId="52" r:id="rId52"/>
    <sheet name="Sheet3" sheetId="53" r:id="rId53"/>
    <sheet name="Sheet4" sheetId="56" r:id="rId54"/>
    <sheet name="Sheet5" sheetId="57" r:id="rId55"/>
    <sheet name="Sheet1" sheetId="54" state="hidden" r:id="rId56"/>
    <sheet name="Sheet2" sheetId="55" state="hidden" r:id="rId57"/>
  </sheets>
  <definedNames>
    <definedName name="_xlnm.Print_Area" localSheetId="0">'1A'!$A$1:$H$55</definedName>
    <definedName name="_xlnm.Print_Area" localSheetId="6">'1B'!$A$1:$H$54</definedName>
    <definedName name="_xlnm.Print_Area" localSheetId="12">'1C'!$A$1:$H$53</definedName>
    <definedName name="_xlnm.Print_Area" localSheetId="18">'1D'!$A$1:$H$52</definedName>
    <definedName name="_xlnm.Print_Area" localSheetId="24">'1E'!$A$1:$I$52</definedName>
    <definedName name="_xlnm.Print_Area" localSheetId="31">'1F'!$A$1:$I$52</definedName>
    <definedName name="_xlnm.Print_Area" localSheetId="1">'2A'!$A$1:$G$53</definedName>
    <definedName name="_xlnm.Print_Area" localSheetId="7">'2B'!$A$1:$I$52</definedName>
    <definedName name="_xlnm.Print_Area" localSheetId="13">'2C'!$A$1:$J$52</definedName>
    <definedName name="_xlnm.Print_Area" localSheetId="19">'2D'!$A$1:$K$52</definedName>
    <definedName name="_xlnm.Print_Area" localSheetId="25">'2E'!$A$1:$I$53</definedName>
    <definedName name="_xlnm.Print_Area" localSheetId="32">'2F'!$A$1:$I$52</definedName>
    <definedName name="_xlnm.Print_Area" localSheetId="35">'36B'!$A$1:$I$52</definedName>
    <definedName name="_xlnm.Print_Area" localSheetId="2">'3A'!$A$1:$H$54</definedName>
    <definedName name="_xlnm.Print_Area" localSheetId="8">'3B'!$A$1:$H$53</definedName>
    <definedName name="_xlnm.Print_Area" localSheetId="14">'3C'!$A$1:$J$53</definedName>
    <definedName name="_xlnm.Print_Area" localSheetId="20">'3D'!$A$1:$K$52</definedName>
    <definedName name="_xlnm.Print_Area" localSheetId="26">'3E'!$A$1:$J$52</definedName>
    <definedName name="_xlnm.Print_Area" localSheetId="33">'3F'!$A$1:$K$52</definedName>
    <definedName name="_xlnm.Print_Area" localSheetId="3">'4A'!$A$1:$J$52</definedName>
    <definedName name="_xlnm.Print_Area" localSheetId="9">'4B'!$A$1:$I$52</definedName>
    <definedName name="_xlnm.Print_Area" localSheetId="15">'4C'!$A$1:$L$52</definedName>
    <definedName name="_xlnm.Print_Area" localSheetId="21">'4D'!$A$1:$J$52</definedName>
    <definedName name="_xlnm.Print_Area" localSheetId="27">'4E'!$A$1:$K$52</definedName>
    <definedName name="_xlnm.Print_Area" localSheetId="34">'4F'!$A$1:$I$52</definedName>
    <definedName name="_xlnm.Print_Area" localSheetId="4">'5A'!$A$1:$J$52</definedName>
    <definedName name="_xlnm.Print_Area" localSheetId="10">'5B'!$A$1:$H$53</definedName>
    <definedName name="_xlnm.Print_Area" localSheetId="16">'5C'!$A$1:$K$52</definedName>
    <definedName name="_xlnm.Print_Area" localSheetId="22">'5D'!$A$1:$J$52</definedName>
    <definedName name="_xlnm.Print_Area" localSheetId="28">'5E'!$A$1:$J$52</definedName>
    <definedName name="_xlnm.Print_Area" localSheetId="5">'6A'!$A$1:$I$52</definedName>
    <definedName name="_xlnm.Print_Area" localSheetId="11">'6B'!$A$1:$J$52</definedName>
    <definedName name="_xlnm.Print_Area" localSheetId="17">'6C'!$A$1:$I$52</definedName>
    <definedName name="_xlnm.Print_Area" localSheetId="23">'6D'!$A$1:$I$52</definedName>
    <definedName name="_xlnm.Print_Area" localSheetId="29">'6E'!$A$1:$I$52</definedName>
    <definedName name="_xlnm.Print_Area" localSheetId="50">'6H'!$A$1:$K$38</definedName>
    <definedName name="_xlnm.Print_Area" localSheetId="30">'7E'!$A$1:$K$52</definedName>
    <definedName name="_xlnm.Print_Area" localSheetId="51">meter!$B$2:$S$65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3" i="52" l="1"/>
  <c r="F18" i="29"/>
  <c r="F18" i="30"/>
  <c r="C5" i="1"/>
  <c r="D6" i="26"/>
  <c r="D6" i="27"/>
  <c r="D6" i="35"/>
  <c r="D6" i="40"/>
  <c r="D6" i="37"/>
  <c r="D6" i="52"/>
  <c r="D9" i="52" s="1"/>
  <c r="D12" i="52" s="1"/>
  <c r="D15" i="52" s="1"/>
  <c r="D18" i="52" s="1"/>
  <c r="D21" i="52" s="1"/>
  <c r="D24" i="52" s="1"/>
  <c r="D27" i="52" s="1"/>
  <c r="D30" i="52" s="1"/>
  <c r="D33" i="52" s="1"/>
  <c r="D36" i="52" s="1"/>
  <c r="D39" i="52" s="1"/>
  <c r="D42" i="52" s="1"/>
  <c r="D45" i="52" s="1"/>
  <c r="D48" i="52" s="1"/>
  <c r="D51" i="52" s="1"/>
  <c r="D12" i="19"/>
  <c r="D12" i="18"/>
  <c r="D10" i="18"/>
  <c r="D7" i="52"/>
  <c r="D10" i="52" s="1"/>
  <c r="D13" i="52" s="1"/>
  <c r="D16" i="52" s="1"/>
  <c r="D19" i="52" s="1"/>
  <c r="D22" i="52" s="1"/>
  <c r="D25" i="52" s="1"/>
  <c r="D28" i="52" s="1"/>
  <c r="D31" i="52" s="1"/>
  <c r="D34" i="52" s="1"/>
  <c r="D37" i="52" s="1"/>
  <c r="D40" i="52" s="1"/>
  <c r="D43" i="52" s="1"/>
  <c r="D46" i="52" s="1"/>
  <c r="D49" i="52" s="1"/>
  <c r="D52" i="52" s="1"/>
  <c r="D8" i="52"/>
  <c r="D11" i="52" s="1"/>
  <c r="D14" i="52" s="1"/>
  <c r="D17" i="52" s="1"/>
  <c r="D20" i="52" s="1"/>
  <c r="D23" i="52" s="1"/>
  <c r="D26" i="52" s="1"/>
  <c r="D29" i="52" s="1"/>
  <c r="D32" i="52" s="1"/>
  <c r="D35" i="52" s="1"/>
  <c r="D38" i="52" s="1"/>
  <c r="D41" i="52" s="1"/>
  <c r="D44" i="52" s="1"/>
  <c r="D47" i="52" s="1"/>
  <c r="D50" i="52" s="1"/>
  <c r="D53" i="52" s="1"/>
  <c r="D12" i="2"/>
  <c r="K45" i="55"/>
  <c r="J45" i="55"/>
  <c r="I45" i="55"/>
  <c r="E38" i="55"/>
  <c r="L22" i="54"/>
  <c r="L21" i="54"/>
  <c r="I60" i="52"/>
  <c r="O59" i="52"/>
  <c r="T54" i="52"/>
  <c r="Q54" i="52"/>
  <c r="N54" i="52"/>
  <c r="L54" i="52"/>
  <c r="J54" i="52"/>
  <c r="G53" i="52"/>
  <c r="I53" i="52" s="1"/>
  <c r="F20" i="51" s="1"/>
  <c r="G52" i="52"/>
  <c r="I52" i="52" s="1"/>
  <c r="K52" i="52" s="1"/>
  <c r="G51" i="52"/>
  <c r="I51" i="52" s="1"/>
  <c r="G50" i="52"/>
  <c r="I50" i="52" s="1"/>
  <c r="G49" i="52"/>
  <c r="I49" i="52" s="1"/>
  <c r="G48" i="52"/>
  <c r="I48" i="52" s="1"/>
  <c r="G47" i="52"/>
  <c r="I47" i="52" s="1"/>
  <c r="G46" i="52"/>
  <c r="I46" i="52" s="1"/>
  <c r="G45" i="52"/>
  <c r="I45" i="52" s="1"/>
  <c r="K45" i="52" s="1"/>
  <c r="G44" i="52"/>
  <c r="I44" i="52" s="1"/>
  <c r="G43" i="52"/>
  <c r="I43" i="52" s="1"/>
  <c r="G42" i="52"/>
  <c r="I42" i="52" s="1"/>
  <c r="G41" i="52"/>
  <c r="I41" i="52" s="1"/>
  <c r="K41" i="52" s="1"/>
  <c r="G40" i="52"/>
  <c r="I40" i="52" s="1"/>
  <c r="Z39" i="52"/>
  <c r="G39" i="52"/>
  <c r="I39" i="52" s="1"/>
  <c r="F20" i="37" s="1"/>
  <c r="Z38" i="52"/>
  <c r="G38" i="52"/>
  <c r="I38" i="52" s="1"/>
  <c r="G37" i="52"/>
  <c r="I37" i="52" s="1"/>
  <c r="K37" i="52" s="1"/>
  <c r="Z36" i="52"/>
  <c r="G36" i="52"/>
  <c r="I36" i="52" s="1"/>
  <c r="G35" i="52"/>
  <c r="I35" i="52" s="1"/>
  <c r="G34" i="52"/>
  <c r="I34" i="52" s="1"/>
  <c r="Z33" i="52"/>
  <c r="G33" i="52"/>
  <c r="I33" i="52" s="1"/>
  <c r="G32" i="52"/>
  <c r="I32" i="52" s="1"/>
  <c r="K32" i="52" s="1"/>
  <c r="G31" i="52"/>
  <c r="I31" i="52" s="1"/>
  <c r="Z30" i="52"/>
  <c r="G30" i="52"/>
  <c r="I30" i="52" s="1"/>
  <c r="K30" i="52" s="1"/>
  <c r="G29" i="52"/>
  <c r="I29" i="52" s="1"/>
  <c r="K29" i="52" s="1"/>
  <c r="G28" i="52"/>
  <c r="I28" i="52" s="1"/>
  <c r="Z27" i="52"/>
  <c r="G27" i="52"/>
  <c r="I27" i="52" s="1"/>
  <c r="K27" i="52" s="1"/>
  <c r="G26" i="52"/>
  <c r="I26" i="52" s="1"/>
  <c r="K26" i="52" s="1"/>
  <c r="Z25" i="52"/>
  <c r="G25" i="52"/>
  <c r="I25" i="52" s="1"/>
  <c r="G24" i="52"/>
  <c r="I24" i="52" s="1"/>
  <c r="K24" i="52" s="1"/>
  <c r="Z23" i="52"/>
  <c r="G23" i="52"/>
  <c r="I23" i="52" s="1"/>
  <c r="Z22" i="52"/>
  <c r="G22" i="52"/>
  <c r="I22" i="52" s="1"/>
  <c r="K22" i="52" s="1"/>
  <c r="Z21" i="52"/>
  <c r="G21" i="52"/>
  <c r="I21" i="52" s="1"/>
  <c r="Z20" i="52"/>
  <c r="G20" i="52"/>
  <c r="I20" i="52" s="1"/>
  <c r="K20" i="52" s="1"/>
  <c r="Z19" i="52"/>
  <c r="G19" i="52"/>
  <c r="I19" i="52" s="1"/>
  <c r="K19" i="52" s="1"/>
  <c r="G18" i="52"/>
  <c r="I18" i="52" s="1"/>
  <c r="Z17" i="52"/>
  <c r="G17" i="52"/>
  <c r="I17" i="52" s="1"/>
  <c r="K17" i="52" s="1"/>
  <c r="Z16" i="52"/>
  <c r="G16" i="52"/>
  <c r="I16" i="52" s="1"/>
  <c r="Z15" i="52"/>
  <c r="G15" i="52"/>
  <c r="I15" i="52" s="1"/>
  <c r="K15" i="52" s="1"/>
  <c r="G14" i="52"/>
  <c r="I14" i="52" s="1"/>
  <c r="E20" i="11" s="1"/>
  <c r="G13" i="52"/>
  <c r="I13" i="52" s="1"/>
  <c r="G12" i="52"/>
  <c r="I12" i="52" s="1"/>
  <c r="K12" i="52" s="1"/>
  <c r="G11" i="52"/>
  <c r="I11" i="52" s="1"/>
  <c r="K11" i="52" s="1"/>
  <c r="G10" i="52"/>
  <c r="I10" i="52" s="1"/>
  <c r="K10" i="52" s="1"/>
  <c r="R9" i="52"/>
  <c r="G9" i="52"/>
  <c r="I9" i="52" s="1"/>
  <c r="E20" i="6" s="1"/>
  <c r="G8" i="52"/>
  <c r="I8" i="52" s="1"/>
  <c r="E20" i="5" s="1"/>
  <c r="G7" i="52"/>
  <c r="I7" i="52" s="1"/>
  <c r="K7" i="52" s="1"/>
  <c r="G6" i="52"/>
  <c r="I6" i="52" s="1"/>
  <c r="K6" i="52" s="1"/>
  <c r="G5" i="52"/>
  <c r="I5" i="52" s="1"/>
  <c r="A5" i="52"/>
  <c r="A6" i="52" s="1"/>
  <c r="A7" i="52" s="1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G4" i="52"/>
  <c r="I4" i="52" s="1"/>
  <c r="F32" i="51"/>
  <c r="F26" i="51"/>
  <c r="E26" i="51"/>
  <c r="D26" i="51"/>
  <c r="F24" i="51"/>
  <c r="F18" i="51"/>
  <c r="D16" i="51"/>
  <c r="B16" i="51"/>
  <c r="D12" i="51"/>
  <c r="D10" i="51"/>
  <c r="D6" i="51"/>
  <c r="I4" i="51"/>
  <c r="B2" i="51"/>
  <c r="Q39" i="50"/>
  <c r="O39" i="50"/>
  <c r="N38" i="50"/>
  <c r="N37" i="50"/>
  <c r="N36" i="50"/>
  <c r="N35" i="50"/>
  <c r="N34" i="50"/>
  <c r="N33" i="50"/>
  <c r="N32" i="50"/>
  <c r="F32" i="50"/>
  <c r="N31" i="50"/>
  <c r="N30" i="50"/>
  <c r="N29" i="50"/>
  <c r="N28" i="50"/>
  <c r="N27" i="50"/>
  <c r="N26" i="50"/>
  <c r="F26" i="50"/>
  <c r="E26" i="50"/>
  <c r="D26" i="50"/>
  <c r="N25" i="50"/>
  <c r="N24" i="50"/>
  <c r="F24" i="50"/>
  <c r="N23" i="50"/>
  <c r="N22" i="50"/>
  <c r="N21" i="50"/>
  <c r="N20" i="50"/>
  <c r="N19" i="50"/>
  <c r="N18" i="50"/>
  <c r="F18" i="50"/>
  <c r="F28" i="50" s="1"/>
  <c r="N17" i="50"/>
  <c r="N16" i="50"/>
  <c r="D16" i="50"/>
  <c r="B16" i="50"/>
  <c r="N15" i="50"/>
  <c r="N14" i="50"/>
  <c r="N13" i="50"/>
  <c r="N12" i="50"/>
  <c r="D12" i="50"/>
  <c r="N11" i="50"/>
  <c r="N10" i="50"/>
  <c r="D10" i="50"/>
  <c r="N9" i="50"/>
  <c r="N8" i="50"/>
  <c r="N7" i="50"/>
  <c r="N6" i="50"/>
  <c r="D6" i="50"/>
  <c r="N5" i="50"/>
  <c r="N4" i="50"/>
  <c r="J4" i="50"/>
  <c r="I4" i="50"/>
  <c r="N3" i="50"/>
  <c r="B2" i="50"/>
  <c r="N34" i="49"/>
  <c r="N33" i="49"/>
  <c r="N32" i="49"/>
  <c r="F32" i="49"/>
  <c r="N31" i="49"/>
  <c r="N30" i="49"/>
  <c r="N29" i="49"/>
  <c r="N28" i="49"/>
  <c r="N27" i="49"/>
  <c r="N26" i="49"/>
  <c r="F26" i="49"/>
  <c r="E26" i="49"/>
  <c r="D26" i="49"/>
  <c r="N25" i="49"/>
  <c r="N24" i="49"/>
  <c r="F24" i="49"/>
  <c r="N23" i="49"/>
  <c r="N22" i="49"/>
  <c r="N21" i="49"/>
  <c r="N20" i="49"/>
  <c r="N19" i="49"/>
  <c r="N18" i="49"/>
  <c r="F18" i="49"/>
  <c r="F28" i="49" s="1"/>
  <c r="N17" i="49"/>
  <c r="N16" i="49"/>
  <c r="D16" i="49"/>
  <c r="B16" i="49"/>
  <c r="N15" i="49"/>
  <c r="N14" i="49"/>
  <c r="N13" i="49"/>
  <c r="N12" i="49"/>
  <c r="D12" i="49"/>
  <c r="N11" i="49"/>
  <c r="N10" i="49"/>
  <c r="D10" i="49"/>
  <c r="N9" i="49"/>
  <c r="N8" i="49"/>
  <c r="N7" i="49"/>
  <c r="N6" i="49"/>
  <c r="D6" i="49"/>
  <c r="N5" i="49"/>
  <c r="N4" i="49"/>
  <c r="J4" i="49"/>
  <c r="I4" i="49"/>
  <c r="N3" i="49"/>
  <c r="B2" i="49"/>
  <c r="N34" i="48"/>
  <c r="N33" i="48"/>
  <c r="N32" i="48"/>
  <c r="F32" i="48"/>
  <c r="N31" i="48"/>
  <c r="N30" i="48"/>
  <c r="N29" i="48"/>
  <c r="N28" i="48"/>
  <c r="N27" i="48"/>
  <c r="N26" i="48"/>
  <c r="F26" i="48"/>
  <c r="E26" i="48"/>
  <c r="D26" i="48"/>
  <c r="N25" i="48"/>
  <c r="N24" i="48"/>
  <c r="F24" i="48"/>
  <c r="N23" i="48"/>
  <c r="N22" i="48"/>
  <c r="N21" i="48"/>
  <c r="N20" i="48"/>
  <c r="N19" i="48"/>
  <c r="N18" i="48"/>
  <c r="F18" i="48"/>
  <c r="F28" i="48" s="1"/>
  <c r="N17" i="48"/>
  <c r="N16" i="48"/>
  <c r="D16" i="48"/>
  <c r="B16" i="48"/>
  <c r="N15" i="48"/>
  <c r="N14" i="48"/>
  <c r="N13" i="48"/>
  <c r="N12" i="48"/>
  <c r="D12" i="48"/>
  <c r="N11" i="48"/>
  <c r="N10" i="48"/>
  <c r="D10" i="48"/>
  <c r="N9" i="48"/>
  <c r="N8" i="48"/>
  <c r="N7" i="48"/>
  <c r="N6" i="48"/>
  <c r="D6" i="48"/>
  <c r="N5" i="48"/>
  <c r="N4" i="48"/>
  <c r="J4" i="48"/>
  <c r="I4" i="48"/>
  <c r="N3" i="48"/>
  <c r="B2" i="48"/>
  <c r="Q39" i="47"/>
  <c r="O39" i="47"/>
  <c r="N38" i="47"/>
  <c r="N37" i="47"/>
  <c r="N36" i="47"/>
  <c r="N35" i="47"/>
  <c r="N34" i="47"/>
  <c r="N33" i="47"/>
  <c r="N32" i="47"/>
  <c r="F32" i="47"/>
  <c r="N31" i="47"/>
  <c r="N30" i="47"/>
  <c r="N29" i="47"/>
  <c r="N28" i="47"/>
  <c r="N27" i="47"/>
  <c r="N26" i="47"/>
  <c r="F26" i="47"/>
  <c r="E26" i="47"/>
  <c r="D26" i="47"/>
  <c r="N25" i="47"/>
  <c r="N24" i="47"/>
  <c r="F24" i="47"/>
  <c r="N23" i="47"/>
  <c r="N22" i="47"/>
  <c r="N21" i="47"/>
  <c r="N20" i="47"/>
  <c r="N19" i="47"/>
  <c r="N18" i="47"/>
  <c r="F18" i="47"/>
  <c r="F28" i="47" s="1"/>
  <c r="N17" i="47"/>
  <c r="N16" i="47"/>
  <c r="D16" i="47"/>
  <c r="B16" i="47"/>
  <c r="N15" i="47"/>
  <c r="N14" i="47"/>
  <c r="N13" i="47"/>
  <c r="N12" i="47"/>
  <c r="D12" i="47"/>
  <c r="N11" i="47"/>
  <c r="N10" i="47"/>
  <c r="D10" i="47"/>
  <c r="N9" i="47"/>
  <c r="N8" i="47"/>
  <c r="N7" i="47"/>
  <c r="N6" i="47"/>
  <c r="D6" i="47"/>
  <c r="N5" i="47"/>
  <c r="N4" i="47"/>
  <c r="J4" i="47"/>
  <c r="I4" i="47"/>
  <c r="N3" i="47"/>
  <c r="B2" i="47"/>
  <c r="N34" i="46"/>
  <c r="N33" i="46"/>
  <c r="N32" i="46"/>
  <c r="F32" i="46"/>
  <c r="N31" i="46"/>
  <c r="N30" i="46"/>
  <c r="N29" i="46"/>
  <c r="N28" i="46"/>
  <c r="N27" i="46"/>
  <c r="N26" i="46"/>
  <c r="F26" i="46"/>
  <c r="E26" i="46"/>
  <c r="D26" i="46"/>
  <c r="N25" i="46"/>
  <c r="N24" i="46"/>
  <c r="F24" i="46"/>
  <c r="N23" i="46"/>
  <c r="N22" i="46"/>
  <c r="N21" i="46"/>
  <c r="N20" i="46"/>
  <c r="N19" i="46"/>
  <c r="N18" i="46"/>
  <c r="F18" i="46"/>
  <c r="F28" i="46" s="1"/>
  <c r="N17" i="46"/>
  <c r="N16" i="46"/>
  <c r="D16" i="46"/>
  <c r="B16" i="46"/>
  <c r="N15" i="46"/>
  <c r="N14" i="46"/>
  <c r="N13" i="46"/>
  <c r="N12" i="46"/>
  <c r="D12" i="46"/>
  <c r="N11" i="46"/>
  <c r="N10" i="46"/>
  <c r="D10" i="46"/>
  <c r="N9" i="46"/>
  <c r="N8" i="46"/>
  <c r="N7" i="46"/>
  <c r="N6" i="46"/>
  <c r="D6" i="46"/>
  <c r="N5" i="46"/>
  <c r="N4" i="46"/>
  <c r="J4" i="46"/>
  <c r="I4" i="46"/>
  <c r="N3" i="46"/>
  <c r="B2" i="46"/>
  <c r="Q39" i="45"/>
  <c r="O39" i="45"/>
  <c r="N38" i="45"/>
  <c r="N37" i="45"/>
  <c r="N36" i="45"/>
  <c r="N35" i="45"/>
  <c r="N34" i="45"/>
  <c r="N33" i="45"/>
  <c r="N32" i="45"/>
  <c r="F32" i="45"/>
  <c r="N31" i="45"/>
  <c r="N30" i="45"/>
  <c r="N29" i="45"/>
  <c r="N28" i="45"/>
  <c r="N27" i="45"/>
  <c r="N26" i="45"/>
  <c r="F26" i="45"/>
  <c r="E26" i="45"/>
  <c r="D26" i="45"/>
  <c r="N25" i="45"/>
  <c r="N24" i="45"/>
  <c r="F24" i="45"/>
  <c r="N23" i="45"/>
  <c r="N22" i="45"/>
  <c r="N21" i="45"/>
  <c r="N20" i="45"/>
  <c r="N19" i="45"/>
  <c r="N18" i="45"/>
  <c r="F18" i="45"/>
  <c r="F28" i="45" s="1"/>
  <c r="N17" i="45"/>
  <c r="N16" i="45"/>
  <c r="D16" i="45"/>
  <c r="B16" i="45"/>
  <c r="N15" i="45"/>
  <c r="N14" i="45"/>
  <c r="N13" i="45"/>
  <c r="N12" i="45"/>
  <c r="D12" i="45"/>
  <c r="N11" i="45"/>
  <c r="N10" i="45"/>
  <c r="D10" i="45"/>
  <c r="N9" i="45"/>
  <c r="N8" i="45"/>
  <c r="N7" i="45"/>
  <c r="N6" i="45"/>
  <c r="D6" i="45"/>
  <c r="N5" i="45"/>
  <c r="N4" i="45"/>
  <c r="J4" i="45"/>
  <c r="I4" i="45"/>
  <c r="N3" i="45"/>
  <c r="B2" i="45"/>
  <c r="Q39" i="44"/>
  <c r="O39" i="44"/>
  <c r="N38" i="44"/>
  <c r="N37" i="44"/>
  <c r="N36" i="44"/>
  <c r="N35" i="44"/>
  <c r="N34" i="44"/>
  <c r="N33" i="44"/>
  <c r="N32" i="44"/>
  <c r="F32" i="44"/>
  <c r="N31" i="44"/>
  <c r="N30" i="44"/>
  <c r="N29" i="44"/>
  <c r="N28" i="44"/>
  <c r="N27" i="44"/>
  <c r="N26" i="44"/>
  <c r="F26" i="44"/>
  <c r="E26" i="44"/>
  <c r="D26" i="44"/>
  <c r="N25" i="44"/>
  <c r="N24" i="44"/>
  <c r="F24" i="44"/>
  <c r="N23" i="44"/>
  <c r="N22" i="44"/>
  <c r="N21" i="44"/>
  <c r="N20" i="44"/>
  <c r="N19" i="44"/>
  <c r="N18" i="44"/>
  <c r="F18" i="44"/>
  <c r="F28" i="44" s="1"/>
  <c r="N17" i="44"/>
  <c r="N16" i="44"/>
  <c r="D16" i="44"/>
  <c r="B16" i="44"/>
  <c r="N15" i="44"/>
  <c r="N14" i="44"/>
  <c r="N13" i="44"/>
  <c r="N12" i="44"/>
  <c r="D12" i="44"/>
  <c r="N11" i="44"/>
  <c r="N10" i="44"/>
  <c r="D10" i="44"/>
  <c r="N9" i="44"/>
  <c r="N8" i="44"/>
  <c r="N7" i="44"/>
  <c r="N6" i="44"/>
  <c r="D6" i="44"/>
  <c r="N5" i="44"/>
  <c r="N4" i="44"/>
  <c r="J4" i="44"/>
  <c r="I4" i="44"/>
  <c r="N3" i="44"/>
  <c r="B2" i="44"/>
  <c r="N34" i="43"/>
  <c r="N33" i="43"/>
  <c r="N32" i="43"/>
  <c r="F32" i="43"/>
  <c r="N31" i="43"/>
  <c r="N30" i="43"/>
  <c r="N29" i="43"/>
  <c r="N28" i="43"/>
  <c r="N27" i="43"/>
  <c r="N26" i="43"/>
  <c r="F26" i="43"/>
  <c r="E26" i="43"/>
  <c r="D26" i="43"/>
  <c r="N25" i="43"/>
  <c r="N24" i="43"/>
  <c r="F24" i="43"/>
  <c r="N23" i="43"/>
  <c r="N22" i="43"/>
  <c r="N21" i="43"/>
  <c r="N20" i="43"/>
  <c r="N19" i="43"/>
  <c r="N18" i="43"/>
  <c r="F18" i="43"/>
  <c r="N17" i="43"/>
  <c r="N16" i="43"/>
  <c r="D16" i="43"/>
  <c r="B16" i="43"/>
  <c r="N15" i="43"/>
  <c r="N14" i="43"/>
  <c r="N13" i="43"/>
  <c r="N12" i="43"/>
  <c r="D12" i="43"/>
  <c r="N11" i="43"/>
  <c r="N10" i="43"/>
  <c r="D10" i="43"/>
  <c r="N9" i="43"/>
  <c r="N8" i="43"/>
  <c r="N7" i="43"/>
  <c r="N6" i="43"/>
  <c r="D6" i="43"/>
  <c r="N5" i="43"/>
  <c r="N4" i="43"/>
  <c r="J4" i="43"/>
  <c r="I4" i="43"/>
  <c r="N3" i="43"/>
  <c r="B2" i="43"/>
  <c r="N34" i="42"/>
  <c r="N33" i="42"/>
  <c r="N32" i="42"/>
  <c r="F32" i="42"/>
  <c r="N31" i="42"/>
  <c r="N30" i="42"/>
  <c r="N29" i="42"/>
  <c r="N28" i="42"/>
  <c r="N27" i="42"/>
  <c r="N26" i="42"/>
  <c r="F26" i="42"/>
  <c r="E26" i="42"/>
  <c r="D26" i="42"/>
  <c r="N25" i="42"/>
  <c r="N24" i="42"/>
  <c r="F24" i="42"/>
  <c r="N23" i="42"/>
  <c r="N22" i="42"/>
  <c r="N21" i="42"/>
  <c r="N20" i="42"/>
  <c r="N19" i="42"/>
  <c r="N18" i="42"/>
  <c r="F18" i="42"/>
  <c r="F28" i="42" s="1"/>
  <c r="N17" i="42"/>
  <c r="N16" i="42"/>
  <c r="D16" i="42"/>
  <c r="B16" i="42"/>
  <c r="N15" i="42"/>
  <c r="N14" i="42"/>
  <c r="N13" i="42"/>
  <c r="N12" i="42"/>
  <c r="D12" i="42"/>
  <c r="N11" i="42"/>
  <c r="N10" i="42"/>
  <c r="D10" i="42"/>
  <c r="N9" i="42"/>
  <c r="N8" i="42"/>
  <c r="N7" i="42"/>
  <c r="N6" i="42"/>
  <c r="D6" i="42"/>
  <c r="N5" i="42"/>
  <c r="N4" i="42"/>
  <c r="J4" i="42"/>
  <c r="I4" i="42"/>
  <c r="N3" i="42"/>
  <c r="B2" i="42"/>
  <c r="Q39" i="41"/>
  <c r="O39" i="41"/>
  <c r="N38" i="41"/>
  <c r="N37" i="41"/>
  <c r="N36" i="41"/>
  <c r="N35" i="41"/>
  <c r="N34" i="41"/>
  <c r="N33" i="41"/>
  <c r="N32" i="41"/>
  <c r="F32" i="41"/>
  <c r="N31" i="41"/>
  <c r="N30" i="41"/>
  <c r="N29" i="41"/>
  <c r="N28" i="41"/>
  <c r="N27" i="41"/>
  <c r="N26" i="41"/>
  <c r="F26" i="41"/>
  <c r="E26" i="41"/>
  <c r="D26" i="41"/>
  <c r="N25" i="41"/>
  <c r="N24" i="41"/>
  <c r="F24" i="41"/>
  <c r="N23" i="41"/>
  <c r="N22" i="41"/>
  <c r="N21" i="41"/>
  <c r="N20" i="41"/>
  <c r="N19" i="41"/>
  <c r="N18" i="41"/>
  <c r="F18" i="41"/>
  <c r="F28" i="41" s="1"/>
  <c r="N17" i="41"/>
  <c r="N16" i="41"/>
  <c r="D16" i="41"/>
  <c r="B16" i="41"/>
  <c r="N15" i="41"/>
  <c r="N14" i="41"/>
  <c r="N13" i="41"/>
  <c r="N12" i="41"/>
  <c r="D12" i="41"/>
  <c r="N11" i="41"/>
  <c r="N10" i="41"/>
  <c r="D10" i="41"/>
  <c r="N9" i="41"/>
  <c r="N8" i="41"/>
  <c r="N7" i="41"/>
  <c r="N6" i="41"/>
  <c r="D6" i="41"/>
  <c r="N5" i="41"/>
  <c r="N4" i="41"/>
  <c r="J4" i="41"/>
  <c r="I4" i="41"/>
  <c r="N3" i="41"/>
  <c r="B2" i="41"/>
  <c r="N38" i="40"/>
  <c r="N37" i="40"/>
  <c r="N36" i="40"/>
  <c r="N35" i="40"/>
  <c r="N34" i="40"/>
  <c r="N33" i="40"/>
  <c r="N32" i="40"/>
  <c r="F32" i="40"/>
  <c r="N31" i="40"/>
  <c r="N30" i="40"/>
  <c r="N29" i="40"/>
  <c r="N28" i="40"/>
  <c r="N27" i="40"/>
  <c r="N26" i="40"/>
  <c r="F26" i="40"/>
  <c r="E26" i="40"/>
  <c r="D26" i="40"/>
  <c r="N25" i="40"/>
  <c r="N24" i="40"/>
  <c r="F24" i="40"/>
  <c r="N23" i="40"/>
  <c r="N22" i="40"/>
  <c r="N21" i="40"/>
  <c r="N20" i="40"/>
  <c r="N19" i="40"/>
  <c r="N18" i="40"/>
  <c r="F18" i="40"/>
  <c r="F28" i="40" s="1"/>
  <c r="N17" i="40"/>
  <c r="N16" i="40"/>
  <c r="D16" i="40"/>
  <c r="B16" i="40"/>
  <c r="N15" i="40"/>
  <c r="N14" i="40"/>
  <c r="N13" i="40"/>
  <c r="N12" i="40"/>
  <c r="N11" i="40"/>
  <c r="N10" i="40"/>
  <c r="N9" i="40"/>
  <c r="N8" i="40"/>
  <c r="N7" i="40"/>
  <c r="N6" i="40"/>
  <c r="N5" i="40"/>
  <c r="N4" i="40"/>
  <c r="J4" i="40"/>
  <c r="I4" i="40"/>
  <c r="N3" i="40"/>
  <c r="B2" i="40"/>
  <c r="N35" i="39"/>
  <c r="N34" i="39"/>
  <c r="N33" i="39"/>
  <c r="N32" i="39"/>
  <c r="F32" i="39"/>
  <c r="N31" i="39"/>
  <c r="N30" i="39"/>
  <c r="N29" i="39"/>
  <c r="N28" i="39"/>
  <c r="N27" i="39"/>
  <c r="N26" i="39"/>
  <c r="F26" i="39"/>
  <c r="E26" i="39"/>
  <c r="D26" i="39"/>
  <c r="N25" i="39"/>
  <c r="N24" i="39"/>
  <c r="F24" i="39"/>
  <c r="N23" i="39"/>
  <c r="N22" i="39"/>
  <c r="N21" i="39"/>
  <c r="N20" i="39"/>
  <c r="N19" i="39"/>
  <c r="N18" i="39"/>
  <c r="F18" i="39"/>
  <c r="F28" i="39" s="1"/>
  <c r="N17" i="39"/>
  <c r="N16" i="39"/>
  <c r="D16" i="39"/>
  <c r="B16" i="39"/>
  <c r="N15" i="39"/>
  <c r="N14" i="39"/>
  <c r="N13" i="39"/>
  <c r="N12" i="39"/>
  <c r="D12" i="39"/>
  <c r="N11" i="39"/>
  <c r="N10" i="39"/>
  <c r="D10" i="39"/>
  <c r="N9" i="39"/>
  <c r="N8" i="39"/>
  <c r="N7" i="39"/>
  <c r="N6" i="39"/>
  <c r="D6" i="39"/>
  <c r="N5" i="39"/>
  <c r="N4" i="39"/>
  <c r="J4" i="39"/>
  <c r="I4" i="39"/>
  <c r="N3" i="39"/>
  <c r="B2" i="39"/>
  <c r="N37" i="38"/>
  <c r="N36" i="38"/>
  <c r="N35" i="38"/>
  <c r="N34" i="38"/>
  <c r="N33" i="38"/>
  <c r="N32" i="38"/>
  <c r="F32" i="38"/>
  <c r="N31" i="38"/>
  <c r="N30" i="38"/>
  <c r="N29" i="38"/>
  <c r="N28" i="38"/>
  <c r="N27" i="38"/>
  <c r="N26" i="38"/>
  <c r="F26" i="38"/>
  <c r="E26" i="38"/>
  <c r="D26" i="38"/>
  <c r="N25" i="38"/>
  <c r="N24" i="38"/>
  <c r="F24" i="38"/>
  <c r="N23" i="38"/>
  <c r="N22" i="38"/>
  <c r="N21" i="38"/>
  <c r="N20" i="38"/>
  <c r="N19" i="38"/>
  <c r="N18" i="38"/>
  <c r="F18" i="38"/>
  <c r="F28" i="38" s="1"/>
  <c r="N17" i="38"/>
  <c r="N16" i="38"/>
  <c r="D16" i="38"/>
  <c r="B16" i="38"/>
  <c r="N15" i="38"/>
  <c r="N14" i="38"/>
  <c r="N13" i="38"/>
  <c r="N12" i="38"/>
  <c r="D12" i="38"/>
  <c r="N11" i="38"/>
  <c r="N10" i="38"/>
  <c r="D10" i="38"/>
  <c r="N9" i="38"/>
  <c r="N8" i="38"/>
  <c r="N7" i="38"/>
  <c r="N6" i="38"/>
  <c r="D6" i="38"/>
  <c r="N5" i="38"/>
  <c r="N4" i="38"/>
  <c r="J4" i="38"/>
  <c r="I4" i="38"/>
  <c r="N3" i="38"/>
  <c r="B2" i="38"/>
  <c r="N34" i="37"/>
  <c r="N33" i="37"/>
  <c r="N32" i="37"/>
  <c r="F32" i="37"/>
  <c r="N31" i="37"/>
  <c r="N30" i="37"/>
  <c r="N29" i="37"/>
  <c r="N28" i="37"/>
  <c r="N27" i="37"/>
  <c r="N26" i="37"/>
  <c r="F26" i="37"/>
  <c r="E26" i="37"/>
  <c r="D26" i="37"/>
  <c r="N25" i="37"/>
  <c r="N24" i="37"/>
  <c r="F24" i="37"/>
  <c r="N23" i="37"/>
  <c r="N22" i="37"/>
  <c r="N21" i="37"/>
  <c r="N20" i="37"/>
  <c r="N19" i="37"/>
  <c r="N18" i="37"/>
  <c r="F18" i="37"/>
  <c r="F28" i="37" s="1"/>
  <c r="N17" i="37"/>
  <c r="N16" i="37"/>
  <c r="D16" i="37"/>
  <c r="B16" i="37"/>
  <c r="N15" i="37"/>
  <c r="N14" i="37"/>
  <c r="N13" i="37"/>
  <c r="N12" i="37"/>
  <c r="D12" i="37"/>
  <c r="N11" i="37"/>
  <c r="N10" i="37"/>
  <c r="D10" i="37"/>
  <c r="N9" i="37"/>
  <c r="N8" i="37"/>
  <c r="N7" i="37"/>
  <c r="N6" i="37"/>
  <c r="N5" i="37"/>
  <c r="N4" i="37"/>
  <c r="J4" i="37"/>
  <c r="I4" i="37"/>
  <c r="N3" i="37"/>
  <c r="B2" i="37"/>
  <c r="F32" i="36"/>
  <c r="F26" i="36"/>
  <c r="E26" i="36"/>
  <c r="D26" i="36"/>
  <c r="F24" i="36"/>
  <c r="F18" i="36"/>
  <c r="F28" i="36" s="1"/>
  <c r="F16" i="36"/>
  <c r="D16" i="36"/>
  <c r="B16" i="36"/>
  <c r="D12" i="36"/>
  <c r="D10" i="36"/>
  <c r="I4" i="36"/>
  <c r="B2" i="36"/>
  <c r="Q39" i="35"/>
  <c r="O39" i="35"/>
  <c r="N38" i="35"/>
  <c r="N37" i="35"/>
  <c r="N36" i="35"/>
  <c r="N35" i="35"/>
  <c r="N34" i="35"/>
  <c r="N33" i="35"/>
  <c r="N32" i="35"/>
  <c r="F32" i="35"/>
  <c r="N31" i="35"/>
  <c r="N30" i="35"/>
  <c r="N29" i="35"/>
  <c r="N28" i="35"/>
  <c r="N27" i="35"/>
  <c r="N26" i="35"/>
  <c r="F26" i="35"/>
  <c r="E26" i="35"/>
  <c r="D26" i="35"/>
  <c r="N25" i="35"/>
  <c r="N24" i="35"/>
  <c r="F24" i="35"/>
  <c r="N23" i="35"/>
  <c r="N22" i="35"/>
  <c r="N21" i="35"/>
  <c r="N20" i="35"/>
  <c r="N19" i="35"/>
  <c r="N18" i="35"/>
  <c r="F18" i="35"/>
  <c r="F28" i="35" s="1"/>
  <c r="R38" i="52" s="1"/>
  <c r="N17" i="35"/>
  <c r="N16" i="35"/>
  <c r="D16" i="35"/>
  <c r="B16" i="35"/>
  <c r="N15" i="35"/>
  <c r="N14" i="35"/>
  <c r="N13" i="35"/>
  <c r="N12" i="35"/>
  <c r="D12" i="35"/>
  <c r="N11" i="35"/>
  <c r="N10" i="35"/>
  <c r="D10" i="35"/>
  <c r="N9" i="35"/>
  <c r="N8" i="35"/>
  <c r="N7" i="35"/>
  <c r="N6" i="35"/>
  <c r="N5" i="35"/>
  <c r="N4" i="35"/>
  <c r="J4" i="35"/>
  <c r="I4" i="35"/>
  <c r="N3" i="35"/>
  <c r="B2" i="35"/>
  <c r="Q39" i="34"/>
  <c r="O39" i="34"/>
  <c r="N38" i="34"/>
  <c r="N37" i="34"/>
  <c r="N36" i="34"/>
  <c r="N35" i="34"/>
  <c r="N34" i="34"/>
  <c r="N33" i="34"/>
  <c r="N32" i="34"/>
  <c r="F32" i="34"/>
  <c r="N31" i="34"/>
  <c r="N30" i="34"/>
  <c r="N29" i="34"/>
  <c r="N28" i="34"/>
  <c r="N27" i="34"/>
  <c r="N26" i="34"/>
  <c r="F26" i="34"/>
  <c r="E26" i="34"/>
  <c r="D26" i="34"/>
  <c r="N25" i="34"/>
  <c r="N24" i="34"/>
  <c r="F24" i="34"/>
  <c r="N23" i="34"/>
  <c r="N22" i="34"/>
  <c r="N21" i="34"/>
  <c r="N20" i="34"/>
  <c r="N19" i="34"/>
  <c r="N18" i="34"/>
  <c r="F18" i="34"/>
  <c r="F28" i="34" s="1"/>
  <c r="R37" i="52" s="1"/>
  <c r="N17" i="34"/>
  <c r="N16" i="34"/>
  <c r="D16" i="34"/>
  <c r="B16" i="34"/>
  <c r="N15" i="34"/>
  <c r="N14" i="34"/>
  <c r="N13" i="34"/>
  <c r="N12" i="34"/>
  <c r="D12" i="34"/>
  <c r="N11" i="34"/>
  <c r="N10" i="34"/>
  <c r="D10" i="34"/>
  <c r="N9" i="34"/>
  <c r="N8" i="34"/>
  <c r="N7" i="34"/>
  <c r="N6" i="34"/>
  <c r="D6" i="34"/>
  <c r="N5" i="34"/>
  <c r="N4" i="34"/>
  <c r="J4" i="34"/>
  <c r="I4" i="34"/>
  <c r="N3" i="34"/>
  <c r="B2" i="34"/>
  <c r="Q39" i="33"/>
  <c r="O39" i="33"/>
  <c r="N38" i="33"/>
  <c r="N37" i="33"/>
  <c r="N36" i="33"/>
  <c r="N35" i="33"/>
  <c r="N34" i="33"/>
  <c r="N33" i="33"/>
  <c r="N32" i="33"/>
  <c r="F32" i="33"/>
  <c r="N31" i="33"/>
  <c r="N30" i="33"/>
  <c r="N29" i="33"/>
  <c r="N28" i="33"/>
  <c r="N27" i="33"/>
  <c r="N26" i="33"/>
  <c r="F26" i="33"/>
  <c r="E26" i="33"/>
  <c r="D26" i="33"/>
  <c r="N25" i="33"/>
  <c r="N24" i="33"/>
  <c r="F24" i="33"/>
  <c r="N23" i="33"/>
  <c r="N22" i="33"/>
  <c r="N21" i="33"/>
  <c r="N20" i="33"/>
  <c r="N19" i="33"/>
  <c r="N18" i="33"/>
  <c r="F18" i="33"/>
  <c r="F28" i="33" s="1"/>
  <c r="R36" i="52" s="1"/>
  <c r="N17" i="33"/>
  <c r="N16" i="33"/>
  <c r="D16" i="33"/>
  <c r="B16" i="33"/>
  <c r="N15" i="33"/>
  <c r="N14" i="33"/>
  <c r="N13" i="33"/>
  <c r="N12" i="33"/>
  <c r="D12" i="33"/>
  <c r="N11" i="33"/>
  <c r="N10" i="33"/>
  <c r="D10" i="33"/>
  <c r="N9" i="33"/>
  <c r="N8" i="33"/>
  <c r="N7" i="33"/>
  <c r="N6" i="33"/>
  <c r="D6" i="33"/>
  <c r="N5" i="33"/>
  <c r="N4" i="33"/>
  <c r="J4" i="33"/>
  <c r="I4" i="33"/>
  <c r="N3" i="33"/>
  <c r="B2" i="33"/>
  <c r="N38" i="32"/>
  <c r="N37" i="32"/>
  <c r="N36" i="32"/>
  <c r="N35" i="32"/>
  <c r="N34" i="32"/>
  <c r="N33" i="32"/>
  <c r="N32" i="32"/>
  <c r="F32" i="32"/>
  <c r="N31" i="32"/>
  <c r="N30" i="32"/>
  <c r="N29" i="32"/>
  <c r="N28" i="32"/>
  <c r="N27" i="32"/>
  <c r="N26" i="32"/>
  <c r="F26" i="32"/>
  <c r="E26" i="32"/>
  <c r="D26" i="32"/>
  <c r="N25" i="32"/>
  <c r="N24" i="32"/>
  <c r="F24" i="32"/>
  <c r="N23" i="32"/>
  <c r="N22" i="32"/>
  <c r="N21" i="32"/>
  <c r="N20" i="32"/>
  <c r="N19" i="32"/>
  <c r="N18" i="32"/>
  <c r="F18" i="32"/>
  <c r="F28" i="32" s="1"/>
  <c r="R35" i="52" s="1"/>
  <c r="N17" i="32"/>
  <c r="N16" i="32"/>
  <c r="D16" i="32"/>
  <c r="B16" i="32"/>
  <c r="N15" i="32"/>
  <c r="N14" i="32"/>
  <c r="N13" i="32"/>
  <c r="N12" i="32"/>
  <c r="N11" i="32"/>
  <c r="N10" i="32"/>
  <c r="N9" i="32"/>
  <c r="N8" i="32"/>
  <c r="N7" i="32"/>
  <c r="N6" i="32"/>
  <c r="D6" i="32"/>
  <c r="N5" i="32"/>
  <c r="N4" i="32"/>
  <c r="J4" i="32"/>
  <c r="I4" i="32"/>
  <c r="N3" i="32"/>
  <c r="B2" i="32"/>
  <c r="Q39" i="31"/>
  <c r="O39" i="31"/>
  <c r="N38" i="31"/>
  <c r="N37" i="31"/>
  <c r="N36" i="31"/>
  <c r="N35" i="31"/>
  <c r="N34" i="31"/>
  <c r="N33" i="31"/>
  <c r="N32" i="31"/>
  <c r="F32" i="31"/>
  <c r="N31" i="31"/>
  <c r="N30" i="31"/>
  <c r="N29" i="31"/>
  <c r="N28" i="31"/>
  <c r="N27" i="31"/>
  <c r="N26" i="31"/>
  <c r="F26" i="31"/>
  <c r="E26" i="31"/>
  <c r="D26" i="31"/>
  <c r="N25" i="31"/>
  <c r="N24" i="31"/>
  <c r="F24" i="31"/>
  <c r="N23" i="31"/>
  <c r="N22" i="31"/>
  <c r="N21" i="31"/>
  <c r="N20" i="31"/>
  <c r="N19" i="31"/>
  <c r="N18" i="31"/>
  <c r="F18" i="31"/>
  <c r="F28" i="31" s="1"/>
  <c r="R34" i="52" s="1"/>
  <c r="N17" i="31"/>
  <c r="N16" i="31"/>
  <c r="D16" i="31"/>
  <c r="B16" i="31"/>
  <c r="N15" i="31"/>
  <c r="N14" i="31"/>
  <c r="N13" i="31"/>
  <c r="N12" i="31"/>
  <c r="D12" i="31"/>
  <c r="N11" i="31"/>
  <c r="N10" i="31"/>
  <c r="D10" i="31"/>
  <c r="N9" i="31"/>
  <c r="N8" i="31"/>
  <c r="N7" i="31"/>
  <c r="N6" i="31"/>
  <c r="D6" i="31"/>
  <c r="N5" i="31"/>
  <c r="N4" i="31"/>
  <c r="J4" i="31"/>
  <c r="I4" i="31"/>
  <c r="N3" i="31"/>
  <c r="B2" i="31"/>
  <c r="Q39" i="30"/>
  <c r="O39" i="30"/>
  <c r="N38" i="30"/>
  <c r="N37" i="30"/>
  <c r="N36" i="30"/>
  <c r="N35" i="30"/>
  <c r="N34" i="30"/>
  <c r="N33" i="30"/>
  <c r="N32" i="30"/>
  <c r="F32" i="30"/>
  <c r="N31" i="30"/>
  <c r="N30" i="30"/>
  <c r="N29" i="30"/>
  <c r="N28" i="30"/>
  <c r="N27" i="30"/>
  <c r="N26" i="30"/>
  <c r="F26" i="30"/>
  <c r="E26" i="30"/>
  <c r="D26" i="30"/>
  <c r="N25" i="30"/>
  <c r="N24" i="30"/>
  <c r="F24" i="30"/>
  <c r="N23" i="30"/>
  <c r="N22" i="30"/>
  <c r="N21" i="30"/>
  <c r="N20" i="30"/>
  <c r="F20" i="30"/>
  <c r="N19" i="30"/>
  <c r="N18" i="30"/>
  <c r="F28" i="30"/>
  <c r="R32" i="52" s="1"/>
  <c r="N17" i="30"/>
  <c r="N16" i="30"/>
  <c r="D16" i="30"/>
  <c r="B16" i="30"/>
  <c r="N15" i="30"/>
  <c r="N14" i="30"/>
  <c r="N13" i="30"/>
  <c r="N12" i="30"/>
  <c r="D12" i="30"/>
  <c r="N11" i="30"/>
  <c r="N10" i="30"/>
  <c r="D10" i="30"/>
  <c r="N9" i="30"/>
  <c r="N8" i="30"/>
  <c r="N7" i="30"/>
  <c r="N6" i="30"/>
  <c r="N5" i="30"/>
  <c r="N4" i="30"/>
  <c r="J4" i="30"/>
  <c r="I4" i="30"/>
  <c r="N3" i="30"/>
  <c r="B2" i="30"/>
  <c r="Q39" i="29"/>
  <c r="O39" i="29"/>
  <c r="N38" i="29"/>
  <c r="N37" i="29"/>
  <c r="N36" i="29"/>
  <c r="N35" i="29"/>
  <c r="N34" i="29"/>
  <c r="N33" i="29"/>
  <c r="N32" i="29"/>
  <c r="F32" i="29"/>
  <c r="N31" i="29"/>
  <c r="N30" i="29"/>
  <c r="N29" i="29"/>
  <c r="N28" i="29"/>
  <c r="N27" i="29"/>
  <c r="N26" i="29"/>
  <c r="F26" i="29"/>
  <c r="E26" i="29"/>
  <c r="D26" i="29"/>
  <c r="N25" i="29"/>
  <c r="N24" i="29"/>
  <c r="F24" i="29"/>
  <c r="N23" i="29"/>
  <c r="N22" i="29"/>
  <c r="N21" i="29"/>
  <c r="N20" i="29"/>
  <c r="N19" i="29"/>
  <c r="N18" i="29"/>
  <c r="F28" i="29"/>
  <c r="N17" i="29"/>
  <c r="N16" i="29"/>
  <c r="D16" i="29"/>
  <c r="B16" i="29"/>
  <c r="N15" i="29"/>
  <c r="N14" i="29"/>
  <c r="N13" i="29"/>
  <c r="N12" i="29"/>
  <c r="D12" i="29"/>
  <c r="N11" i="29"/>
  <c r="N10" i="29"/>
  <c r="D10" i="29"/>
  <c r="N9" i="29"/>
  <c r="N8" i="29"/>
  <c r="N7" i="29"/>
  <c r="N6" i="29"/>
  <c r="D6" i="29"/>
  <c r="N5" i="29"/>
  <c r="N4" i="29"/>
  <c r="J4" i="29"/>
  <c r="I4" i="29"/>
  <c r="N3" i="29"/>
  <c r="B2" i="29"/>
  <c r="Q39" i="28"/>
  <c r="O39" i="28"/>
  <c r="N38" i="28"/>
  <c r="N37" i="28"/>
  <c r="N36" i="28"/>
  <c r="N35" i="28"/>
  <c r="N34" i="28"/>
  <c r="N33" i="28"/>
  <c r="N32" i="28"/>
  <c r="F32" i="28"/>
  <c r="N31" i="28"/>
  <c r="N30" i="28"/>
  <c r="N29" i="28"/>
  <c r="N28" i="28"/>
  <c r="N27" i="28"/>
  <c r="N26" i="28"/>
  <c r="F26" i="28"/>
  <c r="E26" i="28"/>
  <c r="D26" i="28"/>
  <c r="N25" i="28"/>
  <c r="N24" i="28"/>
  <c r="F24" i="28"/>
  <c r="N23" i="28"/>
  <c r="N22" i="28"/>
  <c r="N21" i="28"/>
  <c r="N20" i="28"/>
  <c r="N19" i="28"/>
  <c r="N18" i="28"/>
  <c r="F18" i="28"/>
  <c r="F28" i="28" s="1"/>
  <c r="R31" i="52" s="1"/>
  <c r="N17" i="28"/>
  <c r="N16" i="28"/>
  <c r="D16" i="28"/>
  <c r="B16" i="28"/>
  <c r="N15" i="28"/>
  <c r="N14" i="28"/>
  <c r="N13" i="28"/>
  <c r="N12" i="28"/>
  <c r="D12" i="28"/>
  <c r="N11" i="28"/>
  <c r="N10" i="28"/>
  <c r="D10" i="28"/>
  <c r="N9" i="28"/>
  <c r="N8" i="28"/>
  <c r="N7" i="28"/>
  <c r="N6" i="28"/>
  <c r="D6" i="28"/>
  <c r="N5" i="28"/>
  <c r="N4" i="28"/>
  <c r="I4" i="28"/>
  <c r="H4" i="28"/>
  <c r="N3" i="28"/>
  <c r="B2" i="28"/>
  <c r="Q39" i="27"/>
  <c r="O39" i="27"/>
  <c r="N38" i="27"/>
  <c r="N37" i="27"/>
  <c r="N36" i="27"/>
  <c r="N35" i="27"/>
  <c r="N34" i="27"/>
  <c r="N33" i="27"/>
  <c r="N32" i="27"/>
  <c r="F32" i="27"/>
  <c r="N31" i="27"/>
  <c r="N30" i="27"/>
  <c r="N29" i="27"/>
  <c r="N28" i="27"/>
  <c r="N27" i="27"/>
  <c r="N26" i="27"/>
  <c r="F26" i="27"/>
  <c r="E26" i="27"/>
  <c r="D26" i="27"/>
  <c r="N25" i="27"/>
  <c r="N24" i="27"/>
  <c r="F24" i="27"/>
  <c r="N23" i="27"/>
  <c r="N22" i="27"/>
  <c r="N21" i="27"/>
  <c r="N20" i="27"/>
  <c r="N19" i="27"/>
  <c r="N18" i="27"/>
  <c r="F18" i="27"/>
  <c r="F28" i="27" s="1"/>
  <c r="R29" i="52" s="1"/>
  <c r="N17" i="27"/>
  <c r="N16" i="27"/>
  <c r="D16" i="27"/>
  <c r="B16" i="27"/>
  <c r="N15" i="27"/>
  <c r="N14" i="27"/>
  <c r="N13" i="27"/>
  <c r="R12" i="27"/>
  <c r="N12" i="27"/>
  <c r="D12" i="27"/>
  <c r="N11" i="27"/>
  <c r="N10" i="27"/>
  <c r="D10" i="27"/>
  <c r="N9" i="27"/>
  <c r="N8" i="27"/>
  <c r="N7" i="27"/>
  <c r="N6" i="27"/>
  <c r="N5" i="27"/>
  <c r="N4" i="27"/>
  <c r="L4" i="27"/>
  <c r="I4" i="27"/>
  <c r="N3" i="27"/>
  <c r="B2" i="27"/>
  <c r="Q39" i="26"/>
  <c r="O39" i="26"/>
  <c r="N38" i="26"/>
  <c r="N37" i="26"/>
  <c r="N36" i="26"/>
  <c r="N35" i="26"/>
  <c r="N34" i="26"/>
  <c r="N33" i="26"/>
  <c r="N32" i="26"/>
  <c r="F32" i="26"/>
  <c r="N31" i="26"/>
  <c r="N30" i="26"/>
  <c r="N29" i="26"/>
  <c r="N28" i="26"/>
  <c r="N27" i="26"/>
  <c r="N26" i="26"/>
  <c r="F26" i="26"/>
  <c r="E26" i="26"/>
  <c r="D26" i="26"/>
  <c r="N25" i="26"/>
  <c r="N24" i="26"/>
  <c r="F24" i="26"/>
  <c r="N23" i="26"/>
  <c r="N22" i="26"/>
  <c r="N21" i="26"/>
  <c r="N20" i="26"/>
  <c r="N19" i="26"/>
  <c r="N18" i="26"/>
  <c r="F18" i="26"/>
  <c r="F28" i="26" s="1"/>
  <c r="R30" i="52" s="1"/>
  <c r="N17" i="26"/>
  <c r="N16" i="26"/>
  <c r="D16" i="26"/>
  <c r="B16" i="26"/>
  <c r="N15" i="26"/>
  <c r="N14" i="26"/>
  <c r="N13" i="26"/>
  <c r="N12" i="26"/>
  <c r="D12" i="26"/>
  <c r="N11" i="26"/>
  <c r="N10" i="26"/>
  <c r="D10" i="26"/>
  <c r="N9" i="26"/>
  <c r="N8" i="26"/>
  <c r="N7" i="26"/>
  <c r="N6" i="26"/>
  <c r="N5" i="26"/>
  <c r="N4" i="26"/>
  <c r="L4" i="26"/>
  <c r="I4" i="26"/>
  <c r="N3" i="26"/>
  <c r="B2" i="26"/>
  <c r="Q39" i="25"/>
  <c r="O39" i="25"/>
  <c r="N38" i="25"/>
  <c r="N37" i="25"/>
  <c r="N36" i="25"/>
  <c r="N35" i="25"/>
  <c r="N34" i="25"/>
  <c r="N33" i="25"/>
  <c r="N32" i="25"/>
  <c r="F32" i="25"/>
  <c r="N31" i="25"/>
  <c r="N30" i="25"/>
  <c r="N29" i="25"/>
  <c r="N28" i="25"/>
  <c r="N27" i="25"/>
  <c r="N26" i="25"/>
  <c r="F26" i="25"/>
  <c r="E26" i="25"/>
  <c r="D26" i="25"/>
  <c r="N25" i="25"/>
  <c r="N24" i="25"/>
  <c r="F24" i="25"/>
  <c r="N23" i="25"/>
  <c r="N22" i="25"/>
  <c r="N21" i="25"/>
  <c r="N20" i="25"/>
  <c r="N19" i="25"/>
  <c r="N18" i="25"/>
  <c r="F18" i="25"/>
  <c r="F28" i="25" s="1"/>
  <c r="R28" i="52" s="1"/>
  <c r="N17" i="25"/>
  <c r="N16" i="25"/>
  <c r="D16" i="25"/>
  <c r="B16" i="25"/>
  <c r="N15" i="25"/>
  <c r="N14" i="25"/>
  <c r="N13" i="25"/>
  <c r="N12" i="25"/>
  <c r="D12" i="25"/>
  <c r="N11" i="25"/>
  <c r="N10" i="25"/>
  <c r="D10" i="25"/>
  <c r="N9" i="25"/>
  <c r="N8" i="25"/>
  <c r="N7" i="25"/>
  <c r="N6" i="25"/>
  <c r="D6" i="25"/>
  <c r="N5" i="25"/>
  <c r="N4" i="25"/>
  <c r="K4" i="25"/>
  <c r="I4" i="25"/>
  <c r="N3" i="25"/>
  <c r="B2" i="25"/>
  <c r="Q39" i="24"/>
  <c r="O39" i="24"/>
  <c r="N38" i="24"/>
  <c r="N37" i="24"/>
  <c r="N36" i="24"/>
  <c r="N35" i="24"/>
  <c r="N34" i="24"/>
  <c r="N33" i="24"/>
  <c r="N32" i="24"/>
  <c r="F32" i="24"/>
  <c r="N31" i="24"/>
  <c r="N30" i="24"/>
  <c r="N29" i="24"/>
  <c r="N28" i="24"/>
  <c r="N27" i="24"/>
  <c r="N26" i="24"/>
  <c r="F26" i="24"/>
  <c r="E26" i="24"/>
  <c r="D26" i="24"/>
  <c r="N25" i="24"/>
  <c r="N24" i="24"/>
  <c r="F24" i="24"/>
  <c r="N23" i="24"/>
  <c r="N22" i="24"/>
  <c r="F22" i="24"/>
  <c r="N21" i="24"/>
  <c r="N20" i="24"/>
  <c r="F20" i="24"/>
  <c r="N19" i="24"/>
  <c r="N18" i="24"/>
  <c r="F18" i="24"/>
  <c r="F28" i="24" s="1"/>
  <c r="R27" i="52" s="1"/>
  <c r="N17" i="24"/>
  <c r="N16" i="24"/>
  <c r="D16" i="24"/>
  <c r="B16" i="24"/>
  <c r="N15" i="24"/>
  <c r="N14" i="24"/>
  <c r="N13" i="24"/>
  <c r="N12" i="24"/>
  <c r="D12" i="24"/>
  <c r="N11" i="24"/>
  <c r="N10" i="24"/>
  <c r="D10" i="24"/>
  <c r="N9" i="24"/>
  <c r="N8" i="24"/>
  <c r="N7" i="24"/>
  <c r="N6" i="24"/>
  <c r="D6" i="24"/>
  <c r="N5" i="24"/>
  <c r="N4" i="24"/>
  <c r="M4" i="24"/>
  <c r="I4" i="24"/>
  <c r="N3" i="24"/>
  <c r="B2" i="24"/>
  <c r="Q39" i="23"/>
  <c r="O39" i="23"/>
  <c r="N38" i="23"/>
  <c r="N37" i="23"/>
  <c r="N36" i="23"/>
  <c r="N35" i="23"/>
  <c r="N34" i="23"/>
  <c r="N33" i="23"/>
  <c r="N32" i="23"/>
  <c r="F32" i="23"/>
  <c r="N31" i="23"/>
  <c r="N30" i="23"/>
  <c r="N29" i="23"/>
  <c r="N28" i="23"/>
  <c r="N27" i="23"/>
  <c r="N26" i="23"/>
  <c r="F26" i="23"/>
  <c r="E26" i="23"/>
  <c r="D26" i="23"/>
  <c r="N25" i="23"/>
  <c r="N24" i="23"/>
  <c r="F24" i="23"/>
  <c r="N23" i="23"/>
  <c r="N22" i="23"/>
  <c r="N21" i="23"/>
  <c r="N20" i="23"/>
  <c r="N19" i="23"/>
  <c r="N18" i="23"/>
  <c r="F18" i="23"/>
  <c r="N17" i="23"/>
  <c r="N16" i="23"/>
  <c r="D16" i="23"/>
  <c r="B16" i="23"/>
  <c r="N15" i="23"/>
  <c r="N14" i="23"/>
  <c r="N13" i="23"/>
  <c r="N12" i="23"/>
  <c r="D12" i="23"/>
  <c r="N11" i="23"/>
  <c r="N10" i="23"/>
  <c r="D10" i="23"/>
  <c r="N9" i="23"/>
  <c r="N8" i="23"/>
  <c r="N7" i="23"/>
  <c r="N6" i="23"/>
  <c r="D6" i="23"/>
  <c r="N5" i="23"/>
  <c r="N4" i="23"/>
  <c r="K4" i="23"/>
  <c r="I4" i="23"/>
  <c r="N3" i="23"/>
  <c r="B2" i="23"/>
  <c r="Q39" i="22"/>
  <c r="O39" i="22"/>
  <c r="N38" i="22"/>
  <c r="N37" i="22"/>
  <c r="N36" i="22"/>
  <c r="N35" i="22"/>
  <c r="N34" i="22"/>
  <c r="N33" i="22"/>
  <c r="N32" i="22"/>
  <c r="F32" i="22"/>
  <c r="N31" i="22"/>
  <c r="N30" i="22"/>
  <c r="N29" i="22"/>
  <c r="N28" i="22"/>
  <c r="N27" i="22"/>
  <c r="N26" i="22"/>
  <c r="F26" i="22"/>
  <c r="E26" i="22"/>
  <c r="D26" i="22"/>
  <c r="N25" i="22"/>
  <c r="N24" i="22"/>
  <c r="F24" i="22"/>
  <c r="N23" i="22"/>
  <c r="N22" i="22"/>
  <c r="F22" i="22"/>
  <c r="N21" i="22"/>
  <c r="N20" i="22"/>
  <c r="N19" i="22"/>
  <c r="N18" i="22"/>
  <c r="F18" i="22"/>
  <c r="F28" i="22" s="1"/>
  <c r="R25" i="52" s="1"/>
  <c r="N17" i="22"/>
  <c r="N16" i="22"/>
  <c r="D16" i="22"/>
  <c r="B16" i="22"/>
  <c r="N15" i="22"/>
  <c r="N14" i="22"/>
  <c r="N13" i="22"/>
  <c r="N12" i="22"/>
  <c r="D12" i="22"/>
  <c r="N11" i="22"/>
  <c r="N10" i="22"/>
  <c r="D10" i="22"/>
  <c r="N9" i="22"/>
  <c r="N8" i="22"/>
  <c r="N7" i="22"/>
  <c r="N6" i="22"/>
  <c r="D6" i="22"/>
  <c r="N5" i="22"/>
  <c r="N4" i="22"/>
  <c r="J4" i="22"/>
  <c r="I4" i="22"/>
  <c r="N3" i="22"/>
  <c r="B3" i="22"/>
  <c r="Q39" i="21"/>
  <c r="O39" i="21"/>
  <c r="N38" i="21"/>
  <c r="N37" i="21"/>
  <c r="N36" i="21"/>
  <c r="N35" i="21"/>
  <c r="N34" i="21"/>
  <c r="N33" i="21"/>
  <c r="N32" i="21"/>
  <c r="F32" i="21"/>
  <c r="N31" i="21"/>
  <c r="N30" i="21"/>
  <c r="N29" i="21"/>
  <c r="N28" i="21"/>
  <c r="N27" i="21"/>
  <c r="N26" i="21"/>
  <c r="F26" i="21"/>
  <c r="E26" i="21"/>
  <c r="D26" i="21"/>
  <c r="N25" i="21"/>
  <c r="N24" i="21"/>
  <c r="F24" i="21"/>
  <c r="N23" i="21"/>
  <c r="N22" i="21"/>
  <c r="N21" i="21"/>
  <c r="N20" i="21"/>
  <c r="N19" i="21"/>
  <c r="N18" i="21"/>
  <c r="F18" i="21"/>
  <c r="N17" i="21"/>
  <c r="N16" i="21"/>
  <c r="D16" i="21"/>
  <c r="B16" i="21"/>
  <c r="N15" i="21"/>
  <c r="N14" i="21"/>
  <c r="N13" i="21"/>
  <c r="N12" i="21"/>
  <c r="D12" i="21"/>
  <c r="N11" i="21"/>
  <c r="N10" i="21"/>
  <c r="D10" i="21"/>
  <c r="N9" i="21"/>
  <c r="N8" i="21"/>
  <c r="N7" i="21"/>
  <c r="N6" i="21"/>
  <c r="D6" i="21"/>
  <c r="N5" i="21"/>
  <c r="N4" i="21"/>
  <c r="L4" i="21"/>
  <c r="I4" i="21"/>
  <c r="N3" i="21"/>
  <c r="B3" i="21"/>
  <c r="Q39" i="20"/>
  <c r="O39" i="20"/>
  <c r="N38" i="20"/>
  <c r="N37" i="20"/>
  <c r="N36" i="20"/>
  <c r="N35" i="20"/>
  <c r="N34" i="20"/>
  <c r="N33" i="20"/>
  <c r="N32" i="20"/>
  <c r="F32" i="20"/>
  <c r="N31" i="20"/>
  <c r="N30" i="20"/>
  <c r="N29" i="20"/>
  <c r="N28" i="20"/>
  <c r="N27" i="20"/>
  <c r="N26" i="20"/>
  <c r="F26" i="20"/>
  <c r="E26" i="20"/>
  <c r="D26" i="20"/>
  <c r="N25" i="20"/>
  <c r="N24" i="20"/>
  <c r="F24" i="20"/>
  <c r="N23" i="20"/>
  <c r="N22" i="20"/>
  <c r="F22" i="20"/>
  <c r="N21" i="20"/>
  <c r="N20" i="20"/>
  <c r="N19" i="20"/>
  <c r="N18" i="20"/>
  <c r="F18" i="20"/>
  <c r="F28" i="20" s="1"/>
  <c r="R23" i="52" s="1"/>
  <c r="N17" i="20"/>
  <c r="N16" i="20"/>
  <c r="D16" i="20"/>
  <c r="B16" i="20"/>
  <c r="N15" i="20"/>
  <c r="N14" i="20"/>
  <c r="N13" i="20"/>
  <c r="N12" i="20"/>
  <c r="D12" i="20"/>
  <c r="N11" i="20"/>
  <c r="N10" i="20"/>
  <c r="D10" i="20"/>
  <c r="N9" i="20"/>
  <c r="N8" i="20"/>
  <c r="N7" i="20"/>
  <c r="N6" i="20"/>
  <c r="D6" i="20"/>
  <c r="N5" i="20"/>
  <c r="N4" i="20"/>
  <c r="J4" i="20"/>
  <c r="I4" i="20"/>
  <c r="N3" i="20"/>
  <c r="B3" i="20"/>
  <c r="Q39" i="19"/>
  <c r="O39" i="19"/>
  <c r="N38" i="19"/>
  <c r="N37" i="19"/>
  <c r="N36" i="19"/>
  <c r="N35" i="19"/>
  <c r="N34" i="19"/>
  <c r="N33" i="19"/>
  <c r="N32" i="19"/>
  <c r="F32" i="19"/>
  <c r="N31" i="19"/>
  <c r="N30" i="19"/>
  <c r="N29" i="19"/>
  <c r="N28" i="19"/>
  <c r="N27" i="19"/>
  <c r="N26" i="19"/>
  <c r="E26" i="19"/>
  <c r="D26" i="19"/>
  <c r="N25" i="19"/>
  <c r="N24" i="19"/>
  <c r="F24" i="19"/>
  <c r="N23" i="19"/>
  <c r="N22" i="19"/>
  <c r="N21" i="19"/>
  <c r="N20" i="19"/>
  <c r="N19" i="19"/>
  <c r="N18" i="19"/>
  <c r="F18" i="19"/>
  <c r="F28" i="19" s="1"/>
  <c r="R22" i="52" s="1"/>
  <c r="N17" i="19"/>
  <c r="N16" i="19"/>
  <c r="D16" i="19"/>
  <c r="B16" i="19"/>
  <c r="N15" i="19"/>
  <c r="N14" i="19"/>
  <c r="N13" i="19"/>
  <c r="N12" i="19"/>
  <c r="N11" i="19"/>
  <c r="N10" i="19"/>
  <c r="D10" i="19"/>
  <c r="N9" i="19"/>
  <c r="N8" i="19"/>
  <c r="N7" i="19"/>
  <c r="N6" i="19"/>
  <c r="D6" i="19"/>
  <c r="N5" i="19"/>
  <c r="G5" i="19"/>
  <c r="N4" i="19"/>
  <c r="I4" i="19"/>
  <c r="H4" i="19"/>
  <c r="N3" i="19"/>
  <c r="B3" i="19"/>
  <c r="Q39" i="18"/>
  <c r="O39" i="18"/>
  <c r="N38" i="18"/>
  <c r="N37" i="18"/>
  <c r="N36" i="18"/>
  <c r="N35" i="18"/>
  <c r="N34" i="18"/>
  <c r="N33" i="18"/>
  <c r="N32" i="18"/>
  <c r="F32" i="18"/>
  <c r="N31" i="18"/>
  <c r="N30" i="18"/>
  <c r="N29" i="18"/>
  <c r="N28" i="18"/>
  <c r="N27" i="18"/>
  <c r="N26" i="18"/>
  <c r="E26" i="18"/>
  <c r="D26" i="18"/>
  <c r="N25" i="18"/>
  <c r="N24" i="18"/>
  <c r="F24" i="18"/>
  <c r="N23" i="18"/>
  <c r="N22" i="18"/>
  <c r="N21" i="18"/>
  <c r="N20" i="18"/>
  <c r="N19" i="18"/>
  <c r="N18" i="18"/>
  <c r="F18" i="18"/>
  <c r="N17" i="18"/>
  <c r="N16" i="18"/>
  <c r="D16" i="18"/>
  <c r="B16" i="18"/>
  <c r="N15" i="18"/>
  <c r="N14" i="18"/>
  <c r="N13" i="18"/>
  <c r="N12" i="18"/>
  <c r="N11" i="18"/>
  <c r="N10" i="18"/>
  <c r="N9" i="18"/>
  <c r="N8" i="18"/>
  <c r="N7" i="18"/>
  <c r="N6" i="18"/>
  <c r="D6" i="18"/>
  <c r="N5" i="18"/>
  <c r="N4" i="18"/>
  <c r="K4" i="18"/>
  <c r="I4" i="18"/>
  <c r="N3" i="18"/>
  <c r="B3" i="18"/>
  <c r="Q39" i="17"/>
  <c r="O39" i="17"/>
  <c r="N38" i="17"/>
  <c r="N37" i="17"/>
  <c r="N36" i="17"/>
  <c r="N35" i="17"/>
  <c r="N34" i="17"/>
  <c r="N33" i="17"/>
  <c r="N32" i="17"/>
  <c r="F32" i="17"/>
  <c r="N31" i="17"/>
  <c r="N30" i="17"/>
  <c r="N29" i="17"/>
  <c r="N28" i="17"/>
  <c r="N27" i="17"/>
  <c r="N26" i="17"/>
  <c r="F26" i="17"/>
  <c r="E26" i="17"/>
  <c r="D26" i="17"/>
  <c r="N25" i="17"/>
  <c r="N24" i="17"/>
  <c r="F24" i="17"/>
  <c r="N23" i="17"/>
  <c r="N22" i="17"/>
  <c r="F22" i="17"/>
  <c r="N21" i="17"/>
  <c r="N20" i="17"/>
  <c r="N19" i="17"/>
  <c r="N18" i="17"/>
  <c r="F18" i="17"/>
  <c r="F28" i="17" s="1"/>
  <c r="R20" i="52" s="1"/>
  <c r="N17" i="17"/>
  <c r="N16" i="17"/>
  <c r="D16" i="17"/>
  <c r="B16" i="17"/>
  <c r="N15" i="17"/>
  <c r="N14" i="17"/>
  <c r="N13" i="17"/>
  <c r="N12" i="17"/>
  <c r="D12" i="17"/>
  <c r="N11" i="17"/>
  <c r="N10" i="17"/>
  <c r="D10" i="17"/>
  <c r="N9" i="17"/>
  <c r="N8" i="17"/>
  <c r="N7" i="17"/>
  <c r="N6" i="17"/>
  <c r="D6" i="17"/>
  <c r="N5" i="17"/>
  <c r="N4" i="17"/>
  <c r="J4" i="17"/>
  <c r="I4" i="17"/>
  <c r="N3" i="17"/>
  <c r="B3" i="17"/>
  <c r="Q39" i="16"/>
  <c r="O39" i="16"/>
  <c r="N38" i="16"/>
  <c r="N37" i="16"/>
  <c r="N36" i="16"/>
  <c r="N35" i="16"/>
  <c r="N34" i="16"/>
  <c r="N33" i="16"/>
  <c r="N32" i="16"/>
  <c r="F32" i="16"/>
  <c r="N31" i="16"/>
  <c r="N30" i="16"/>
  <c r="N29" i="16"/>
  <c r="N28" i="16"/>
  <c r="N27" i="16"/>
  <c r="N26" i="16"/>
  <c r="F26" i="16"/>
  <c r="E26" i="16"/>
  <c r="D26" i="16"/>
  <c r="N25" i="16"/>
  <c r="N24" i="16"/>
  <c r="F24" i="16"/>
  <c r="N23" i="16"/>
  <c r="N22" i="16"/>
  <c r="N21" i="16"/>
  <c r="N20" i="16"/>
  <c r="N19" i="16"/>
  <c r="N18" i="16"/>
  <c r="F18" i="16"/>
  <c r="N17" i="16"/>
  <c r="N16" i="16"/>
  <c r="D16" i="16"/>
  <c r="B16" i="16"/>
  <c r="N15" i="16"/>
  <c r="N14" i="16"/>
  <c r="N13" i="16"/>
  <c r="N12" i="16"/>
  <c r="D12" i="16"/>
  <c r="N11" i="16"/>
  <c r="N10" i="16"/>
  <c r="D10" i="16"/>
  <c r="N9" i="16"/>
  <c r="N8" i="16"/>
  <c r="N7" i="16"/>
  <c r="N6" i="16"/>
  <c r="D6" i="16"/>
  <c r="N5" i="16"/>
  <c r="N4" i="16"/>
  <c r="M4" i="16"/>
  <c r="I4" i="16"/>
  <c r="N3" i="16"/>
  <c r="B3" i="16"/>
  <c r="Q39" i="15"/>
  <c r="O39" i="15"/>
  <c r="N38" i="15"/>
  <c r="N37" i="15"/>
  <c r="N36" i="15"/>
  <c r="N35" i="15"/>
  <c r="N34" i="15"/>
  <c r="N33" i="15"/>
  <c r="N32" i="15"/>
  <c r="F32" i="15"/>
  <c r="N31" i="15"/>
  <c r="N30" i="15"/>
  <c r="N29" i="15"/>
  <c r="N28" i="15"/>
  <c r="N27" i="15"/>
  <c r="N26" i="15"/>
  <c r="F26" i="15"/>
  <c r="E26" i="15"/>
  <c r="D26" i="15"/>
  <c r="N25" i="15"/>
  <c r="N24" i="15"/>
  <c r="F24" i="15"/>
  <c r="N23" i="15"/>
  <c r="N22" i="15"/>
  <c r="F22" i="15"/>
  <c r="N21" i="15"/>
  <c r="N20" i="15"/>
  <c r="N19" i="15"/>
  <c r="N18" i="15"/>
  <c r="F18" i="15"/>
  <c r="F28" i="15" s="1"/>
  <c r="R18" i="52" s="1"/>
  <c r="N17" i="15"/>
  <c r="N16" i="15"/>
  <c r="D16" i="15"/>
  <c r="B16" i="15"/>
  <c r="N15" i="15"/>
  <c r="N14" i="15"/>
  <c r="N13" i="15"/>
  <c r="N12" i="15"/>
  <c r="D12" i="15"/>
  <c r="N11" i="15"/>
  <c r="N10" i="15"/>
  <c r="D10" i="15"/>
  <c r="N9" i="15"/>
  <c r="N8" i="15"/>
  <c r="N7" i="15"/>
  <c r="N6" i="15"/>
  <c r="D6" i="15"/>
  <c r="N5" i="15"/>
  <c r="N4" i="15"/>
  <c r="J4" i="15"/>
  <c r="I4" i="15"/>
  <c r="N3" i="15"/>
  <c r="B3" i="15"/>
  <c r="Q39" i="14"/>
  <c r="O39" i="14"/>
  <c r="N38" i="14"/>
  <c r="N37" i="14"/>
  <c r="N36" i="14"/>
  <c r="N35" i="14"/>
  <c r="N34" i="14"/>
  <c r="N33" i="14"/>
  <c r="N32" i="14"/>
  <c r="F32" i="14"/>
  <c r="N31" i="14"/>
  <c r="N30" i="14"/>
  <c r="N29" i="14"/>
  <c r="N28" i="14"/>
  <c r="N27" i="14"/>
  <c r="N26" i="14"/>
  <c r="F26" i="14"/>
  <c r="E26" i="14"/>
  <c r="D26" i="14"/>
  <c r="N25" i="14"/>
  <c r="N24" i="14"/>
  <c r="F24" i="14"/>
  <c r="N23" i="14"/>
  <c r="N22" i="14"/>
  <c r="N21" i="14"/>
  <c r="N20" i="14"/>
  <c r="N19" i="14"/>
  <c r="N18" i="14"/>
  <c r="F18" i="14"/>
  <c r="N17" i="14"/>
  <c r="N16" i="14"/>
  <c r="D16" i="14"/>
  <c r="B16" i="14"/>
  <c r="N15" i="14"/>
  <c r="N14" i="14"/>
  <c r="N13" i="14"/>
  <c r="N12" i="14"/>
  <c r="D12" i="14"/>
  <c r="N11" i="14"/>
  <c r="N10" i="14"/>
  <c r="D10" i="14"/>
  <c r="N9" i="14"/>
  <c r="N8" i="14"/>
  <c r="N7" i="14"/>
  <c r="N6" i="14"/>
  <c r="D6" i="14"/>
  <c r="N5" i="14"/>
  <c r="N4" i="14"/>
  <c r="J4" i="14"/>
  <c r="I4" i="14"/>
  <c r="N3" i="14"/>
  <c r="B3" i="14"/>
  <c r="Q39" i="13"/>
  <c r="O39" i="13"/>
  <c r="N38" i="13"/>
  <c r="N37" i="13"/>
  <c r="N36" i="13"/>
  <c r="N35" i="13"/>
  <c r="N34" i="13"/>
  <c r="N33" i="13"/>
  <c r="N32" i="13"/>
  <c r="F32" i="13"/>
  <c r="N31" i="13"/>
  <c r="N30" i="13"/>
  <c r="N29" i="13"/>
  <c r="N28" i="13"/>
  <c r="N27" i="13"/>
  <c r="N26" i="13"/>
  <c r="F26" i="13"/>
  <c r="N25" i="13"/>
  <c r="N24" i="13"/>
  <c r="F24" i="13"/>
  <c r="N23" i="13"/>
  <c r="N22" i="13"/>
  <c r="N21" i="13"/>
  <c r="N20" i="13"/>
  <c r="N19" i="13"/>
  <c r="N18" i="13"/>
  <c r="F18" i="13"/>
  <c r="F28" i="13" s="1"/>
  <c r="R16" i="52" s="1"/>
  <c r="N17" i="13"/>
  <c r="N16" i="13"/>
  <c r="D16" i="13"/>
  <c r="B16" i="13"/>
  <c r="N15" i="13"/>
  <c r="N14" i="13"/>
  <c r="N13" i="13"/>
  <c r="N12" i="13"/>
  <c r="D12" i="13"/>
  <c r="N11" i="13"/>
  <c r="N10" i="13"/>
  <c r="D10" i="13"/>
  <c r="N9" i="13"/>
  <c r="N8" i="13"/>
  <c r="N7" i="13"/>
  <c r="N6" i="13"/>
  <c r="D6" i="13"/>
  <c r="N5" i="13"/>
  <c r="N4" i="13"/>
  <c r="H4" i="13"/>
  <c r="N3" i="13"/>
  <c r="B3" i="13"/>
  <c r="Q39" i="12"/>
  <c r="O39" i="12"/>
  <c r="N38" i="12"/>
  <c r="N37" i="12"/>
  <c r="N36" i="12"/>
  <c r="N35" i="12"/>
  <c r="N34" i="12"/>
  <c r="N33" i="12"/>
  <c r="N32" i="12"/>
  <c r="F32" i="12"/>
  <c r="N31" i="12"/>
  <c r="N30" i="12"/>
  <c r="N29" i="12"/>
  <c r="N28" i="12"/>
  <c r="N27" i="12"/>
  <c r="N26" i="12"/>
  <c r="F26" i="12"/>
  <c r="N25" i="12"/>
  <c r="N24" i="12"/>
  <c r="F24" i="12"/>
  <c r="N23" i="12"/>
  <c r="N22" i="12"/>
  <c r="N21" i="12"/>
  <c r="N20" i="12"/>
  <c r="N19" i="12"/>
  <c r="N18" i="12"/>
  <c r="F18" i="12"/>
  <c r="F28" i="12" s="1"/>
  <c r="R15" i="52" s="1"/>
  <c r="N17" i="12"/>
  <c r="N16" i="12"/>
  <c r="D16" i="12"/>
  <c r="B16" i="12"/>
  <c r="N15" i="12"/>
  <c r="N14" i="12"/>
  <c r="N13" i="12"/>
  <c r="N12" i="12"/>
  <c r="D12" i="12"/>
  <c r="N11" i="12"/>
  <c r="N10" i="12"/>
  <c r="D10" i="12"/>
  <c r="N9" i="12"/>
  <c r="N8" i="12"/>
  <c r="N7" i="12"/>
  <c r="N6" i="12"/>
  <c r="D6" i="12"/>
  <c r="N5" i="12"/>
  <c r="N4" i="12"/>
  <c r="J4" i="12"/>
  <c r="I4" i="12"/>
  <c r="N3" i="12"/>
  <c r="B3" i="12"/>
  <c r="Q39" i="11"/>
  <c r="O39" i="11"/>
  <c r="N38" i="11"/>
  <c r="N37" i="11"/>
  <c r="N36" i="11"/>
  <c r="N35" i="11"/>
  <c r="N34" i="11"/>
  <c r="N33" i="11"/>
  <c r="N32" i="11"/>
  <c r="E32" i="11"/>
  <c r="N31" i="11"/>
  <c r="N30" i="11"/>
  <c r="N29" i="11"/>
  <c r="N28" i="11"/>
  <c r="N27" i="11"/>
  <c r="N26" i="11"/>
  <c r="E26" i="11"/>
  <c r="C26" i="11"/>
  <c r="N25" i="11"/>
  <c r="N24" i="11"/>
  <c r="E24" i="11"/>
  <c r="N23" i="11"/>
  <c r="N22" i="11"/>
  <c r="N21" i="11"/>
  <c r="N20" i="11"/>
  <c r="N19" i="11"/>
  <c r="N18" i="11"/>
  <c r="E18" i="11"/>
  <c r="E28" i="11" s="1"/>
  <c r="R14" i="52" s="1"/>
  <c r="N17" i="11"/>
  <c r="N16" i="11"/>
  <c r="C16" i="11"/>
  <c r="B16" i="11"/>
  <c r="N15" i="11"/>
  <c r="N14" i="11"/>
  <c r="N13" i="11"/>
  <c r="N12" i="11"/>
  <c r="C12" i="11"/>
  <c r="N11" i="11"/>
  <c r="N10" i="11"/>
  <c r="C10" i="11"/>
  <c r="N9" i="11"/>
  <c r="N8" i="11"/>
  <c r="N7" i="11"/>
  <c r="N6" i="11"/>
  <c r="C6" i="11"/>
  <c r="N5" i="11"/>
  <c r="N4" i="11"/>
  <c r="H4" i="11"/>
  <c r="N3" i="11"/>
  <c r="B3" i="11"/>
  <c r="Q39" i="10"/>
  <c r="O39" i="10"/>
  <c r="N38" i="10"/>
  <c r="N37" i="10"/>
  <c r="N36" i="10"/>
  <c r="N35" i="10"/>
  <c r="N34" i="10"/>
  <c r="N33" i="10"/>
  <c r="N32" i="10"/>
  <c r="E32" i="10"/>
  <c r="N31" i="10"/>
  <c r="N30" i="10"/>
  <c r="N29" i="10"/>
  <c r="N28" i="10"/>
  <c r="N27" i="10"/>
  <c r="N26" i="10"/>
  <c r="E26" i="10"/>
  <c r="C26" i="10"/>
  <c r="N25" i="10"/>
  <c r="N24" i="10"/>
  <c r="E24" i="10"/>
  <c r="N23" i="10"/>
  <c r="N22" i="10"/>
  <c r="N21" i="10"/>
  <c r="N20" i="10"/>
  <c r="N19" i="10"/>
  <c r="N18" i="10"/>
  <c r="E18" i="10"/>
  <c r="N17" i="10"/>
  <c r="N16" i="10"/>
  <c r="C16" i="10"/>
  <c r="B16" i="10"/>
  <c r="N15" i="10"/>
  <c r="N14" i="10"/>
  <c r="N13" i="10"/>
  <c r="N12" i="10"/>
  <c r="C12" i="10"/>
  <c r="N11" i="10"/>
  <c r="N10" i="10"/>
  <c r="C10" i="10"/>
  <c r="N9" i="10"/>
  <c r="N8" i="10"/>
  <c r="N7" i="10"/>
  <c r="N6" i="10"/>
  <c r="C6" i="10"/>
  <c r="N5" i="10"/>
  <c r="N4" i="10"/>
  <c r="H4" i="10"/>
  <c r="N3" i="10"/>
  <c r="B3" i="10"/>
  <c r="Q39" i="9"/>
  <c r="O39" i="9"/>
  <c r="N38" i="9"/>
  <c r="N37" i="9"/>
  <c r="N36" i="9"/>
  <c r="N35" i="9"/>
  <c r="N34" i="9"/>
  <c r="N33" i="9"/>
  <c r="N32" i="9"/>
  <c r="E32" i="9"/>
  <c r="N31" i="9"/>
  <c r="N30" i="9"/>
  <c r="N29" i="9"/>
  <c r="N28" i="9"/>
  <c r="N27" i="9"/>
  <c r="N26" i="9"/>
  <c r="E26" i="9"/>
  <c r="D26" i="9"/>
  <c r="C26" i="9"/>
  <c r="N25" i="9"/>
  <c r="N24" i="9"/>
  <c r="E24" i="9"/>
  <c r="N23" i="9"/>
  <c r="N22" i="9"/>
  <c r="N21" i="9"/>
  <c r="N20" i="9"/>
  <c r="N19" i="9"/>
  <c r="N18" i="9"/>
  <c r="E18" i="9"/>
  <c r="E28" i="9" s="1"/>
  <c r="R12" i="52" s="1"/>
  <c r="N17" i="9"/>
  <c r="N16" i="9"/>
  <c r="C16" i="9"/>
  <c r="B16" i="9"/>
  <c r="N15" i="9"/>
  <c r="N14" i="9"/>
  <c r="N13" i="9"/>
  <c r="N12" i="9"/>
  <c r="C12" i="9"/>
  <c r="N11" i="9"/>
  <c r="N10" i="9"/>
  <c r="C10" i="9"/>
  <c r="N9" i="9"/>
  <c r="N8" i="9"/>
  <c r="N7" i="9"/>
  <c r="N6" i="9"/>
  <c r="C6" i="9"/>
  <c r="N5" i="9"/>
  <c r="N4" i="9"/>
  <c r="H4" i="9"/>
  <c r="N3" i="9"/>
  <c r="B3" i="9"/>
  <c r="Q39" i="8"/>
  <c r="O39" i="8"/>
  <c r="N38" i="8"/>
  <c r="N37" i="8"/>
  <c r="N36" i="8"/>
  <c r="N35" i="8"/>
  <c r="N34" i="8"/>
  <c r="N33" i="8"/>
  <c r="N32" i="8"/>
  <c r="E32" i="8"/>
  <c r="N31" i="8"/>
  <c r="N30" i="8"/>
  <c r="N29" i="8"/>
  <c r="N28" i="8"/>
  <c r="N27" i="8"/>
  <c r="N26" i="8"/>
  <c r="E26" i="8"/>
  <c r="D26" i="8"/>
  <c r="C26" i="8"/>
  <c r="N25" i="8"/>
  <c r="N24" i="8"/>
  <c r="E24" i="8"/>
  <c r="N23" i="8"/>
  <c r="N22" i="8"/>
  <c r="E22" i="8"/>
  <c r="N21" i="8"/>
  <c r="N20" i="8"/>
  <c r="N19" i="8"/>
  <c r="N18" i="8"/>
  <c r="E18" i="8"/>
  <c r="E28" i="8" s="1"/>
  <c r="R11" i="52" s="1"/>
  <c r="N17" i="8"/>
  <c r="N16" i="8"/>
  <c r="C16" i="8"/>
  <c r="B16" i="8"/>
  <c r="N15" i="8"/>
  <c r="N14" i="8"/>
  <c r="N13" i="8"/>
  <c r="N12" i="8"/>
  <c r="C12" i="8"/>
  <c r="N11" i="8"/>
  <c r="N10" i="8"/>
  <c r="C10" i="8"/>
  <c r="N9" i="8"/>
  <c r="N8" i="8"/>
  <c r="N7" i="8"/>
  <c r="N6" i="8"/>
  <c r="C6" i="8"/>
  <c r="N5" i="8"/>
  <c r="N4" i="8"/>
  <c r="H4" i="8"/>
  <c r="N3" i="8"/>
  <c r="B3" i="8"/>
  <c r="Q39" i="7"/>
  <c r="O39" i="7"/>
  <c r="N38" i="7"/>
  <c r="N37" i="7"/>
  <c r="N36" i="7"/>
  <c r="N35" i="7"/>
  <c r="N34" i="7"/>
  <c r="N33" i="7"/>
  <c r="N32" i="7"/>
  <c r="E32" i="7"/>
  <c r="N31" i="7"/>
  <c r="N30" i="7"/>
  <c r="N29" i="7"/>
  <c r="N28" i="7"/>
  <c r="N27" i="7"/>
  <c r="N26" i="7"/>
  <c r="E26" i="7"/>
  <c r="D26" i="7"/>
  <c r="C26" i="7"/>
  <c r="N25" i="7"/>
  <c r="N24" i="7"/>
  <c r="E24" i="7"/>
  <c r="N23" i="7"/>
  <c r="N22" i="7"/>
  <c r="N21" i="7"/>
  <c r="N20" i="7"/>
  <c r="N19" i="7"/>
  <c r="N18" i="7"/>
  <c r="E18" i="7"/>
  <c r="E28" i="7" s="1"/>
  <c r="R10" i="52" s="1"/>
  <c r="N17" i="7"/>
  <c r="N16" i="7"/>
  <c r="C16" i="7"/>
  <c r="E16" i="7" s="1"/>
  <c r="B16" i="7"/>
  <c r="N15" i="7"/>
  <c r="N14" i="7"/>
  <c r="N13" i="7"/>
  <c r="N12" i="7"/>
  <c r="C12" i="7"/>
  <c r="N11" i="7"/>
  <c r="N10" i="7"/>
  <c r="C10" i="7"/>
  <c r="N9" i="7"/>
  <c r="N8" i="7"/>
  <c r="N7" i="7"/>
  <c r="N6" i="7"/>
  <c r="C6" i="7"/>
  <c r="N5" i="7"/>
  <c r="N4" i="7"/>
  <c r="H4" i="7"/>
  <c r="N3" i="7"/>
  <c r="B3" i="7"/>
  <c r="Q39" i="6"/>
  <c r="O39" i="6"/>
  <c r="N38" i="6"/>
  <c r="N37" i="6"/>
  <c r="N36" i="6"/>
  <c r="N35" i="6"/>
  <c r="N34" i="6"/>
  <c r="N33" i="6"/>
  <c r="N32" i="6"/>
  <c r="E32" i="6"/>
  <c r="N31" i="6"/>
  <c r="N30" i="6"/>
  <c r="N29" i="6"/>
  <c r="N28" i="6"/>
  <c r="N27" i="6"/>
  <c r="N26" i="6"/>
  <c r="E26" i="6"/>
  <c r="D26" i="6"/>
  <c r="C26" i="6"/>
  <c r="N25" i="6"/>
  <c r="N24" i="6"/>
  <c r="E24" i="6"/>
  <c r="N23" i="6"/>
  <c r="N22" i="6"/>
  <c r="N21" i="6"/>
  <c r="N20" i="6"/>
  <c r="N19" i="6"/>
  <c r="N18" i="6"/>
  <c r="E18" i="6"/>
  <c r="N17" i="6"/>
  <c r="N16" i="6"/>
  <c r="C16" i="6"/>
  <c r="B16" i="6"/>
  <c r="N15" i="6"/>
  <c r="N14" i="6"/>
  <c r="N13" i="6"/>
  <c r="N12" i="6"/>
  <c r="C12" i="6"/>
  <c r="N11" i="6"/>
  <c r="N10" i="6"/>
  <c r="C10" i="6"/>
  <c r="N9" i="6"/>
  <c r="N8" i="6"/>
  <c r="N7" i="6"/>
  <c r="N6" i="6"/>
  <c r="C6" i="6"/>
  <c r="N5" i="6"/>
  <c r="N4" i="6"/>
  <c r="H4" i="6"/>
  <c r="N3" i="6"/>
  <c r="B3" i="6"/>
  <c r="Q39" i="5"/>
  <c r="O39" i="5"/>
  <c r="N38" i="5"/>
  <c r="N37" i="5"/>
  <c r="N36" i="5"/>
  <c r="N35" i="5"/>
  <c r="N34" i="5"/>
  <c r="N33" i="5"/>
  <c r="N32" i="5"/>
  <c r="E32" i="5"/>
  <c r="N31" i="5"/>
  <c r="N30" i="5"/>
  <c r="N29" i="5"/>
  <c r="N28" i="5"/>
  <c r="N27" i="5"/>
  <c r="N26" i="5"/>
  <c r="E26" i="5"/>
  <c r="D26" i="5"/>
  <c r="C26" i="5"/>
  <c r="N25" i="5"/>
  <c r="N24" i="5"/>
  <c r="E24" i="5"/>
  <c r="N23" i="5"/>
  <c r="N22" i="5"/>
  <c r="N21" i="5"/>
  <c r="N20" i="5"/>
  <c r="N19" i="5"/>
  <c r="N18" i="5"/>
  <c r="E18" i="5"/>
  <c r="N17" i="5"/>
  <c r="N16" i="5"/>
  <c r="C16" i="5"/>
  <c r="B16" i="5"/>
  <c r="N15" i="5"/>
  <c r="N14" i="5"/>
  <c r="N13" i="5"/>
  <c r="N12" i="5"/>
  <c r="C12" i="5"/>
  <c r="N11" i="5"/>
  <c r="N10" i="5"/>
  <c r="C10" i="5"/>
  <c r="N9" i="5"/>
  <c r="N8" i="5"/>
  <c r="N7" i="5"/>
  <c r="N6" i="5"/>
  <c r="C6" i="5"/>
  <c r="N5" i="5"/>
  <c r="N4" i="5"/>
  <c r="H4" i="5"/>
  <c r="N3" i="5"/>
  <c r="B3" i="5"/>
  <c r="Q39" i="4"/>
  <c r="O39" i="4"/>
  <c r="N38" i="4"/>
  <c r="N37" i="4"/>
  <c r="N36" i="4"/>
  <c r="N35" i="4"/>
  <c r="N34" i="4"/>
  <c r="N33" i="4"/>
  <c r="N32" i="4"/>
  <c r="E32" i="4"/>
  <c r="N31" i="4"/>
  <c r="N30" i="4"/>
  <c r="N29" i="4"/>
  <c r="N28" i="4"/>
  <c r="N27" i="4"/>
  <c r="N26" i="4"/>
  <c r="E26" i="4"/>
  <c r="N25" i="4"/>
  <c r="N24" i="4"/>
  <c r="E24" i="4"/>
  <c r="N23" i="4"/>
  <c r="N22" i="4"/>
  <c r="E22" i="4"/>
  <c r="N21" i="4"/>
  <c r="N20" i="4"/>
  <c r="N19" i="4"/>
  <c r="N18" i="4"/>
  <c r="E18" i="4"/>
  <c r="E28" i="4" s="1"/>
  <c r="R7" i="52" s="1"/>
  <c r="N17" i="4"/>
  <c r="N16" i="4"/>
  <c r="C16" i="4"/>
  <c r="B16" i="4"/>
  <c r="N15" i="4"/>
  <c r="N14" i="4"/>
  <c r="N13" i="4"/>
  <c r="N12" i="4"/>
  <c r="C12" i="4"/>
  <c r="N11" i="4"/>
  <c r="N10" i="4"/>
  <c r="C10" i="4"/>
  <c r="N9" i="4"/>
  <c r="N8" i="4"/>
  <c r="N7" i="4"/>
  <c r="N6" i="4"/>
  <c r="C6" i="4"/>
  <c r="N5" i="4"/>
  <c r="N4" i="4"/>
  <c r="H4" i="4"/>
  <c r="N3" i="4"/>
  <c r="B3" i="4"/>
  <c r="Q39" i="3"/>
  <c r="O39" i="3"/>
  <c r="N38" i="3"/>
  <c r="N37" i="3"/>
  <c r="N36" i="3"/>
  <c r="N35" i="3"/>
  <c r="N34" i="3"/>
  <c r="N33" i="3"/>
  <c r="N32" i="3"/>
  <c r="E32" i="3"/>
  <c r="N31" i="3"/>
  <c r="N30" i="3"/>
  <c r="N29" i="3"/>
  <c r="N28" i="3"/>
  <c r="N27" i="3"/>
  <c r="N26" i="3"/>
  <c r="N25" i="3"/>
  <c r="N24" i="3"/>
  <c r="E24" i="3"/>
  <c r="N23" i="3"/>
  <c r="N22" i="3"/>
  <c r="E22" i="3"/>
  <c r="N21" i="3"/>
  <c r="N20" i="3"/>
  <c r="N19" i="3"/>
  <c r="N18" i="3"/>
  <c r="E18" i="3"/>
  <c r="E28" i="3" s="1"/>
  <c r="R6" i="52" s="1"/>
  <c r="N17" i="3"/>
  <c r="N16" i="3"/>
  <c r="C16" i="3"/>
  <c r="B16" i="3"/>
  <c r="N15" i="3"/>
  <c r="N14" i="3"/>
  <c r="N13" i="3"/>
  <c r="N12" i="3"/>
  <c r="C12" i="3"/>
  <c r="N11" i="3"/>
  <c r="N10" i="3"/>
  <c r="C10" i="3"/>
  <c r="N9" i="3"/>
  <c r="N8" i="3"/>
  <c r="N7" i="3"/>
  <c r="N6" i="3"/>
  <c r="C6" i="3"/>
  <c r="N5" i="3"/>
  <c r="N4" i="3"/>
  <c r="H4" i="3"/>
  <c r="N3" i="3"/>
  <c r="B3" i="3"/>
  <c r="Q39" i="2"/>
  <c r="O39" i="2"/>
  <c r="N38" i="2"/>
  <c r="N37" i="2"/>
  <c r="N36" i="2"/>
  <c r="N35" i="2"/>
  <c r="N34" i="2"/>
  <c r="N33" i="2"/>
  <c r="N32" i="2"/>
  <c r="F32" i="2"/>
  <c r="N31" i="2"/>
  <c r="N30" i="2"/>
  <c r="N29" i="2"/>
  <c r="N28" i="2"/>
  <c r="N27" i="2"/>
  <c r="N26" i="2"/>
  <c r="F26" i="2"/>
  <c r="D26" i="2"/>
  <c r="N25" i="2"/>
  <c r="N24" i="2"/>
  <c r="F24" i="2"/>
  <c r="N23" i="2"/>
  <c r="N22" i="2"/>
  <c r="N21" i="2"/>
  <c r="N20" i="2"/>
  <c r="N19" i="2"/>
  <c r="N18" i="2"/>
  <c r="F18" i="2"/>
  <c r="F28" i="2" s="1"/>
  <c r="R5" i="52" s="1"/>
  <c r="N17" i="2"/>
  <c r="N16" i="2"/>
  <c r="D16" i="2"/>
  <c r="B16" i="2"/>
  <c r="N15" i="2"/>
  <c r="N14" i="2"/>
  <c r="N13" i="2"/>
  <c r="N12" i="2"/>
  <c r="N11" i="2"/>
  <c r="N10" i="2"/>
  <c r="D10" i="2"/>
  <c r="N9" i="2"/>
  <c r="N8" i="2"/>
  <c r="N7" i="2"/>
  <c r="N6" i="2"/>
  <c r="D6" i="2"/>
  <c r="N5" i="2"/>
  <c r="N4" i="2"/>
  <c r="G4" i="2"/>
  <c r="N3" i="2"/>
  <c r="B3" i="2"/>
  <c r="Q39" i="1"/>
  <c r="O39" i="1"/>
  <c r="N38" i="1"/>
  <c r="N37" i="1"/>
  <c r="N36" i="1"/>
  <c r="N35" i="1"/>
  <c r="N34" i="1"/>
  <c r="N33" i="1"/>
  <c r="N32" i="1"/>
  <c r="N31" i="1"/>
  <c r="E31" i="1"/>
  <c r="N30" i="1"/>
  <c r="N29" i="1"/>
  <c r="N28" i="1"/>
  <c r="N27" i="1"/>
  <c r="N26" i="1"/>
  <c r="N25" i="1"/>
  <c r="N24" i="1"/>
  <c r="N23" i="1"/>
  <c r="E23" i="1"/>
  <c r="N22" i="1"/>
  <c r="N21" i="1"/>
  <c r="E21" i="1"/>
  <c r="F22" i="40" s="1"/>
  <c r="N20" i="1"/>
  <c r="N19" i="1"/>
  <c r="N18" i="1"/>
  <c r="N17" i="1"/>
  <c r="E17" i="1"/>
  <c r="E27" i="1" s="1"/>
  <c r="R4" i="52" s="1"/>
  <c r="N16" i="1"/>
  <c r="N15" i="1"/>
  <c r="C15" i="1"/>
  <c r="B15" i="1"/>
  <c r="N14" i="1"/>
  <c r="N13" i="1"/>
  <c r="N12" i="1"/>
  <c r="N11" i="1"/>
  <c r="N10" i="1"/>
  <c r="N9" i="1"/>
  <c r="N8" i="1"/>
  <c r="N7" i="1"/>
  <c r="N6" i="1"/>
  <c r="N5" i="1"/>
  <c r="N4" i="1"/>
  <c r="N3" i="1"/>
  <c r="E16" i="3" l="1"/>
  <c r="F20" i="50"/>
  <c r="S37" i="52"/>
  <c r="P37" i="52" s="1"/>
  <c r="F16" i="15"/>
  <c r="F20" i="19"/>
  <c r="E16" i="9"/>
  <c r="F16" i="35"/>
  <c r="F20" i="12"/>
  <c r="K5" i="52"/>
  <c r="S5" i="52" s="1"/>
  <c r="F16" i="38"/>
  <c r="S7" i="52"/>
  <c r="U7" i="52" s="1"/>
  <c r="E20" i="4"/>
  <c r="E30" i="4" s="1"/>
  <c r="E34" i="4" s="1"/>
  <c r="F20" i="23"/>
  <c r="E20" i="8"/>
  <c r="E30" i="8" s="1"/>
  <c r="E34" i="8" s="1"/>
  <c r="E15" i="1"/>
  <c r="E16" i="10"/>
  <c r="F16" i="16"/>
  <c r="F16" i="17"/>
  <c r="F16" i="23"/>
  <c r="F30" i="24"/>
  <c r="F34" i="24" s="1"/>
  <c r="F16" i="25"/>
  <c r="F16" i="32"/>
  <c r="F20" i="34"/>
  <c r="F30" i="34" s="1"/>
  <c r="F34" i="34" s="1"/>
  <c r="F16" i="39"/>
  <c r="F16" i="41"/>
  <c r="F16" i="42"/>
  <c r="F16" i="44"/>
  <c r="F16" i="47"/>
  <c r="F16" i="2"/>
  <c r="E16" i="5"/>
  <c r="E20" i="9"/>
  <c r="F16" i="13"/>
  <c r="F16" i="20"/>
  <c r="F16" i="24"/>
  <c r="F16" i="28"/>
  <c r="F16" i="30"/>
  <c r="F16" i="37"/>
  <c r="F16" i="46"/>
  <c r="F16" i="48"/>
  <c r="E16" i="6"/>
  <c r="E16" i="11"/>
  <c r="F16" i="12"/>
  <c r="F20" i="17"/>
  <c r="F30" i="17" s="1"/>
  <c r="F34" i="17" s="1"/>
  <c r="F16" i="18"/>
  <c r="F16" i="21"/>
  <c r="F16" i="22"/>
  <c r="F16" i="31"/>
  <c r="F16" i="33"/>
  <c r="F16" i="34"/>
  <c r="F16" i="40"/>
  <c r="F16" i="43"/>
  <c r="F16" i="14"/>
  <c r="F20" i="40"/>
  <c r="F30" i="40" s="1"/>
  <c r="F34" i="40" s="1"/>
  <c r="K42" i="52"/>
  <c r="F20" i="39"/>
  <c r="F16" i="19"/>
  <c r="E16" i="8"/>
  <c r="E16" i="4"/>
  <c r="K46" i="52"/>
  <c r="F20" i="44"/>
  <c r="K50" i="52"/>
  <c r="F20" i="48"/>
  <c r="K13" i="52"/>
  <c r="E20" i="10"/>
  <c r="K16" i="52"/>
  <c r="S16" i="52" s="1"/>
  <c r="F20" i="13"/>
  <c r="F30" i="13" s="1"/>
  <c r="F34" i="13" s="1"/>
  <c r="K18" i="52"/>
  <c r="S18" i="52" s="1"/>
  <c r="F20" i="15"/>
  <c r="F30" i="15" s="1"/>
  <c r="F34" i="15" s="1"/>
  <c r="K25" i="52"/>
  <c r="S25" i="52" s="1"/>
  <c r="F20" i="22"/>
  <c r="F30" i="22" s="1"/>
  <c r="F34" i="22" s="1"/>
  <c r="K33" i="52"/>
  <c r="S33" i="52" s="1"/>
  <c r="U33" i="52" s="1"/>
  <c r="F20" i="29"/>
  <c r="F30" i="29" s="1"/>
  <c r="F34" i="29" s="1"/>
  <c r="K43" i="52"/>
  <c r="F20" i="41"/>
  <c r="F30" i="41" s="1"/>
  <c r="F34" i="41" s="1"/>
  <c r="F20" i="45"/>
  <c r="F30" i="45" s="1"/>
  <c r="F34" i="45" s="1"/>
  <c r="K47" i="52"/>
  <c r="K51" i="52"/>
  <c r="F20" i="49"/>
  <c r="F30" i="49" s="1"/>
  <c r="F34" i="49" s="1"/>
  <c r="K21" i="52"/>
  <c r="F20" i="18"/>
  <c r="K23" i="52"/>
  <c r="S23" i="52" s="1"/>
  <c r="F20" i="20"/>
  <c r="F30" i="20" s="1"/>
  <c r="F34" i="20" s="1"/>
  <c r="K28" i="52"/>
  <c r="S28" i="52" s="1"/>
  <c r="F20" i="25"/>
  <c r="F30" i="25" s="1"/>
  <c r="F34" i="25" s="1"/>
  <c r="F20" i="31"/>
  <c r="K34" i="52"/>
  <c r="S34" i="52" s="1"/>
  <c r="F20" i="2"/>
  <c r="F30" i="2" s="1"/>
  <c r="F34" i="2" s="1"/>
  <c r="K8" i="52"/>
  <c r="S6" i="52"/>
  <c r="P6" i="52" s="1"/>
  <c r="F20" i="26"/>
  <c r="F30" i="26" s="1"/>
  <c r="F34" i="26" s="1"/>
  <c r="E20" i="3"/>
  <c r="E30" i="3" s="1"/>
  <c r="E34" i="3" s="1"/>
  <c r="F20" i="16"/>
  <c r="F20" i="43"/>
  <c r="K9" i="52"/>
  <c r="S9" i="52" s="1"/>
  <c r="K39" i="52"/>
  <c r="E20" i="7"/>
  <c r="E30" i="7" s="1"/>
  <c r="E34" i="7" s="1"/>
  <c r="F20" i="21"/>
  <c r="S10" i="52"/>
  <c r="E30" i="11"/>
  <c r="E34" i="11" s="1"/>
  <c r="P7" i="52"/>
  <c r="E28" i="10"/>
  <c r="R13" i="52" s="1"/>
  <c r="S29" i="52"/>
  <c r="K38" i="52"/>
  <c r="S38" i="52" s="1"/>
  <c r="F20" i="35"/>
  <c r="F20" i="36"/>
  <c r="F30" i="36" s="1"/>
  <c r="F34" i="36" s="1"/>
  <c r="K48" i="52"/>
  <c r="F20" i="46"/>
  <c r="F30" i="46" s="1"/>
  <c r="F34" i="46" s="1"/>
  <c r="F22" i="2"/>
  <c r="E28" i="5"/>
  <c r="R8" i="52" s="1"/>
  <c r="E22" i="9"/>
  <c r="F28" i="14"/>
  <c r="R17" i="52" s="1"/>
  <c r="S17" i="52" s="1"/>
  <c r="F28" i="16"/>
  <c r="R19" i="52" s="1"/>
  <c r="S19" i="52" s="1"/>
  <c r="F28" i="21"/>
  <c r="R24" i="52" s="1"/>
  <c r="S24" i="52" s="1"/>
  <c r="F28" i="23"/>
  <c r="R26" i="52" s="1"/>
  <c r="S26" i="52" s="1"/>
  <c r="P26" i="52" s="1"/>
  <c r="F16" i="26"/>
  <c r="F16" i="27"/>
  <c r="F16" i="29"/>
  <c r="F22" i="34"/>
  <c r="F16" i="45"/>
  <c r="F16" i="51"/>
  <c r="S11" i="52"/>
  <c r="K14" i="52"/>
  <c r="S14" i="52" s="1"/>
  <c r="K31" i="52"/>
  <c r="S31" i="52" s="1"/>
  <c r="F20" i="28"/>
  <c r="F30" i="28" s="1"/>
  <c r="F34" i="28" s="1"/>
  <c r="K35" i="52"/>
  <c r="S35" i="52" s="1"/>
  <c r="F20" i="32"/>
  <c r="F30" i="32" s="1"/>
  <c r="F34" i="32" s="1"/>
  <c r="K49" i="52"/>
  <c r="F20" i="47"/>
  <c r="F30" i="47" s="1"/>
  <c r="F34" i="47" s="1"/>
  <c r="F28" i="18"/>
  <c r="R21" i="52" s="1"/>
  <c r="F22" i="50"/>
  <c r="F22" i="49"/>
  <c r="F22" i="48"/>
  <c r="F22" i="45"/>
  <c r="F22" i="36"/>
  <c r="F22" i="29"/>
  <c r="F22" i="27"/>
  <c r="F22" i="43"/>
  <c r="F22" i="42"/>
  <c r="F22" i="38"/>
  <c r="F22" i="37"/>
  <c r="F22" i="35"/>
  <c r="F22" i="33"/>
  <c r="F22" i="32"/>
  <c r="F22" i="31"/>
  <c r="F22" i="51"/>
  <c r="F22" i="47"/>
  <c r="F22" i="46"/>
  <c r="F22" i="44"/>
  <c r="F22" i="39"/>
  <c r="F22" i="28"/>
  <c r="E22" i="5"/>
  <c r="E22" i="10"/>
  <c r="E22" i="11"/>
  <c r="F22" i="13"/>
  <c r="F22" i="14"/>
  <c r="F22" i="16"/>
  <c r="F22" i="18"/>
  <c r="F22" i="21"/>
  <c r="F22" i="23"/>
  <c r="F22" i="25"/>
  <c r="F22" i="26"/>
  <c r="F22" i="30"/>
  <c r="F30" i="30" s="1"/>
  <c r="F34" i="30" s="1"/>
  <c r="F22" i="41"/>
  <c r="F28" i="43"/>
  <c r="F16" i="50"/>
  <c r="K36" i="52"/>
  <c r="S36" i="52" s="1"/>
  <c r="F20" i="33"/>
  <c r="F30" i="33" s="1"/>
  <c r="F34" i="33" s="1"/>
  <c r="K40" i="52"/>
  <c r="F20" i="38"/>
  <c r="F30" i="38" s="1"/>
  <c r="F34" i="38" s="1"/>
  <c r="E22" i="6"/>
  <c r="E30" i="6" s="1"/>
  <c r="E34" i="6" s="1"/>
  <c r="E22" i="7"/>
  <c r="F22" i="12"/>
  <c r="F20" i="14"/>
  <c r="F22" i="19"/>
  <c r="F20" i="27"/>
  <c r="F30" i="27" s="1"/>
  <c r="F34" i="27" s="1"/>
  <c r="F30" i="37"/>
  <c r="F34" i="37" s="1"/>
  <c r="F16" i="49"/>
  <c r="S12" i="52"/>
  <c r="S15" i="52"/>
  <c r="S20" i="52"/>
  <c r="K44" i="52"/>
  <c r="F20" i="42"/>
  <c r="F30" i="42" s="1"/>
  <c r="F34" i="42" s="1"/>
  <c r="F30" i="50"/>
  <c r="F34" i="50" s="1"/>
  <c r="S30" i="52"/>
  <c r="F28" i="51"/>
  <c r="R39" i="52" s="1"/>
  <c r="G54" i="52"/>
  <c r="I57" i="52"/>
  <c r="S22" i="52"/>
  <c r="S27" i="52"/>
  <c r="S32" i="52"/>
  <c r="U37" i="52" l="1"/>
  <c r="F30" i="14"/>
  <c r="F34" i="14" s="1"/>
  <c r="F30" i="44"/>
  <c r="F34" i="44" s="1"/>
  <c r="F30" i="19"/>
  <c r="F34" i="19" s="1"/>
  <c r="F30" i="12"/>
  <c r="F34" i="12" s="1"/>
  <c r="R54" i="52"/>
  <c r="F30" i="16"/>
  <c r="F34" i="16" s="1"/>
  <c r="S8" i="52"/>
  <c r="U8" i="52" s="1"/>
  <c r="F30" i="51"/>
  <c r="F34" i="51" s="1"/>
  <c r="E30" i="5"/>
  <c r="E34" i="5" s="1"/>
  <c r="S39" i="52"/>
  <c r="P39" i="52" s="1"/>
  <c r="E30" i="10"/>
  <c r="E34" i="10" s="1"/>
  <c r="S13" i="52"/>
  <c r="P13" i="52" s="1"/>
  <c r="F30" i="23"/>
  <c r="F34" i="23" s="1"/>
  <c r="P33" i="52"/>
  <c r="F30" i="21"/>
  <c r="F34" i="21" s="1"/>
  <c r="F30" i="39"/>
  <c r="F34" i="39" s="1"/>
  <c r="F34" i="43"/>
  <c r="S21" i="52"/>
  <c r="U21" i="52" s="1"/>
  <c r="E30" i="9"/>
  <c r="E34" i="9" s="1"/>
  <c r="F30" i="48"/>
  <c r="F34" i="48" s="1"/>
  <c r="U6" i="52"/>
  <c r="F30" i="31"/>
  <c r="F34" i="31" s="1"/>
  <c r="F30" i="18"/>
  <c r="F34" i="18" s="1"/>
  <c r="P9" i="52"/>
  <c r="U9" i="52"/>
  <c r="U24" i="52"/>
  <c r="P24" i="52"/>
  <c r="U17" i="52"/>
  <c r="P17" i="52"/>
  <c r="I54" i="52"/>
  <c r="E19" i="1"/>
  <c r="E29" i="1" s="1"/>
  <c r="E33" i="1" s="1"/>
  <c r="K4" i="52"/>
  <c r="U15" i="52"/>
  <c r="P15" i="52"/>
  <c r="U27" i="52"/>
  <c r="P27" i="52"/>
  <c r="U25" i="52"/>
  <c r="P25" i="52"/>
  <c r="P34" i="52"/>
  <c r="U34" i="52"/>
  <c r="U36" i="52"/>
  <c r="P36" i="52"/>
  <c r="U16" i="52"/>
  <c r="P16" i="52"/>
  <c r="P23" i="52"/>
  <c r="U23" i="52"/>
  <c r="P38" i="52"/>
  <c r="U38" i="52"/>
  <c r="U26" i="52"/>
  <c r="P28" i="52"/>
  <c r="U28" i="52"/>
  <c r="P12" i="52"/>
  <c r="U12" i="52"/>
  <c r="P35" i="52"/>
  <c r="U35" i="52"/>
  <c r="U18" i="52"/>
  <c r="P18" i="52"/>
  <c r="P19" i="52"/>
  <c r="U19" i="52"/>
  <c r="P29" i="52"/>
  <c r="U29" i="52"/>
  <c r="U32" i="52"/>
  <c r="P32" i="52"/>
  <c r="U22" i="52"/>
  <c r="P22" i="52"/>
  <c r="P5" i="52"/>
  <c r="U5" i="52"/>
  <c r="P14" i="52"/>
  <c r="U14" i="52"/>
  <c r="U30" i="52"/>
  <c r="P30" i="52"/>
  <c r="V30" i="52"/>
  <c r="U20" i="52"/>
  <c r="P20" i="52"/>
  <c r="P31" i="52"/>
  <c r="U31" i="52"/>
  <c r="U11" i="52"/>
  <c r="P11" i="52"/>
  <c r="F30" i="35"/>
  <c r="F34" i="35" s="1"/>
  <c r="P10" i="52"/>
  <c r="U10" i="52"/>
  <c r="P21" i="52" l="1"/>
  <c r="U39" i="52"/>
  <c r="P8" i="52"/>
  <c r="U13" i="52"/>
  <c r="K54" i="52"/>
  <c r="S4" i="52"/>
  <c r="S54" i="52" l="1"/>
  <c r="P4" i="52"/>
  <c r="U4" i="52"/>
</calcChain>
</file>

<file path=xl/sharedStrings.xml><?xml version="1.0" encoding="utf-8"?>
<sst xmlns="http://schemas.openxmlformats.org/spreadsheetml/2006/main" count="1972" uniqueCount="268">
  <si>
    <t>WATER BILL</t>
  </si>
  <si>
    <t>ISSUE DATE</t>
  </si>
  <si>
    <t>LAST PAY DATE</t>
  </si>
  <si>
    <t>PREVIOUS READING</t>
  </si>
  <si>
    <t>CURRENT READING</t>
  </si>
  <si>
    <t>CONSUMPTION</t>
  </si>
  <si>
    <t>BILL NO.</t>
  </si>
  <si>
    <t>TENANT NAME</t>
  </si>
  <si>
    <t>LAST ACCOUNT</t>
  </si>
  <si>
    <t>MONTH BILL</t>
  </si>
  <si>
    <t>ADJUSTMENT</t>
  </si>
  <si>
    <t>TOTAL PAYABLE</t>
  </si>
  <si>
    <t>NOTE</t>
  </si>
  <si>
    <t>A receipt will be issued upon bank confirmation of the transaction.</t>
  </si>
  <si>
    <t xml:space="preserve">         Kitengela Branch</t>
  </si>
  <si>
    <t>NB: Kindly give the management atleast  two (2) months prior notice incase you intend to terminate the tenancy for ease of logisitics.</t>
  </si>
  <si>
    <t>4A</t>
  </si>
  <si>
    <t>KSHS.</t>
  </si>
  <si>
    <t>Units</t>
  </si>
  <si>
    <t>kshs.</t>
  </si>
  <si>
    <t>6B</t>
  </si>
  <si>
    <t>1A</t>
  </si>
  <si>
    <t>Kshs.</t>
  </si>
  <si>
    <t>CONSUMPTION (Units)</t>
  </si>
  <si>
    <t xml:space="preserve">PREVIOUS READING </t>
  </si>
  <si>
    <t xml:space="preserve">MONTH HOUSE RENT </t>
  </si>
  <si>
    <t>3A</t>
  </si>
  <si>
    <t>2A</t>
  </si>
  <si>
    <t>5A</t>
  </si>
  <si>
    <t>E &amp; O E</t>
  </si>
  <si>
    <t>SECURITY</t>
  </si>
  <si>
    <t>LAST ACCOUNT B/F</t>
  </si>
  <si>
    <t>RENT</t>
  </si>
  <si>
    <t>TOTAL</t>
  </si>
  <si>
    <t>PAID</t>
  </si>
  <si>
    <t>P.O BOX 9473-00200 NAIROBI</t>
  </si>
  <si>
    <t>PERIOD</t>
  </si>
  <si>
    <t>CURRENT</t>
  </si>
  <si>
    <t>READING</t>
  </si>
  <si>
    <t>HOUSE</t>
  </si>
  <si>
    <t>Fixed Charge</t>
  </si>
  <si>
    <t>RATE</t>
  </si>
  <si>
    <t>INTEREST ON ARREARS</t>
  </si>
  <si>
    <t xml:space="preserve"> </t>
  </si>
  <si>
    <t>MONTH Water BILL</t>
  </si>
  <si>
    <t>Total H2O Bill</t>
  </si>
  <si>
    <t>28B</t>
  </si>
  <si>
    <t>27B</t>
  </si>
  <si>
    <t>ADJUSTMENT-interest on arrears</t>
  </si>
  <si>
    <t xml:space="preserve">      Frebazeth Company Limited</t>
  </si>
  <si>
    <t xml:space="preserve"> NO MPESA or cash payments allowed.</t>
  </si>
  <si>
    <t xml:space="preserve"> A reconnection fee of Kshs. 1,000 will be charged and paid before supply is reconnected.</t>
  </si>
  <si>
    <t>Rent is due on or before 5th of the month. By 7th day, any rent not paid will attract interest at 2% per day.</t>
  </si>
  <si>
    <t>Any default in Rent payment by 10th of the month the house shall be locked without notice and belongings removed for re-letting.</t>
  </si>
  <si>
    <t xml:space="preserve"> Amounts not cleared by last pay date will render to water disconnection.</t>
  </si>
  <si>
    <t>(Kindly indicate your Name &amp; House number on the deposit slip &amp; inform the Bank teller to capture it.)</t>
  </si>
  <si>
    <t>HOUSE NUMBER</t>
  </si>
  <si>
    <t>HOUSE NUMBER:</t>
  </si>
  <si>
    <t>HOUSE NUMBER;</t>
  </si>
  <si>
    <t>HOUSE  NUMBER:</t>
  </si>
  <si>
    <t>INTEREST ON LATE PAYMENT</t>
  </si>
  <si>
    <t>AMOUNT KSHS</t>
  </si>
  <si>
    <t>Amount (Kshs.)</t>
  </si>
  <si>
    <t>Amount (Kshs)</t>
  </si>
  <si>
    <t>Amount(Kshs)</t>
  </si>
  <si>
    <t>a)</t>
  </si>
  <si>
    <t>b)</t>
  </si>
  <si>
    <t>c)</t>
  </si>
  <si>
    <t>d)</t>
  </si>
  <si>
    <t>e)</t>
  </si>
  <si>
    <t>f)</t>
  </si>
  <si>
    <t>g)</t>
  </si>
  <si>
    <t>ANY MINOR REPAIRS OCCURING AFTER 3 MONTHS OF OCCUPANCY ARE TENANT'S RESPONSIBILITY AS PER TENANCY AGREEMENT.</t>
  </si>
  <si>
    <t>ADJUSTMENT (Interest late payment)</t>
  </si>
  <si>
    <t>Penalty &amp; Interest late payment</t>
  </si>
  <si>
    <t>ADJUSTMENT-Interest on arrears</t>
  </si>
  <si>
    <t>072</t>
  </si>
  <si>
    <t>0775203183</t>
  </si>
  <si>
    <t>0723662965</t>
  </si>
  <si>
    <t xml:space="preserve">INTEREST LATE PAYMENT </t>
  </si>
  <si>
    <t>PUMP/POWER CHARGES</t>
  </si>
  <si>
    <t>REMARKS</t>
  </si>
  <si>
    <t>Interest on rent arrears</t>
  </si>
  <si>
    <t>ADJUSTMENT-INTEREST ON ARREARS</t>
  </si>
  <si>
    <t>BAL C/F</t>
  </si>
  <si>
    <t>BAL B/F</t>
  </si>
  <si>
    <t>BALANCE C/F</t>
  </si>
  <si>
    <t>AMOUNT DUE</t>
  </si>
  <si>
    <t>AMOUNT PAYABLE</t>
  </si>
  <si>
    <t>KSHS</t>
  </si>
  <si>
    <t>INTEREST &amp; PENALTY</t>
  </si>
  <si>
    <t>ADJUSTMENT-INTEREST LATE PAYMENT</t>
  </si>
  <si>
    <t>INTEREST LATE PAYMENT</t>
  </si>
  <si>
    <t>PAY &amp; VACATE, REPAIRS CHARGES OF 8,400/- REMAINS TILL NEW TENANT LEAVES, THEN WE REPAIR</t>
  </si>
  <si>
    <t>RAFIKI DTM (Deposit Taking Microfinance)</t>
  </si>
  <si>
    <t xml:space="preserve">         A/C  NO. 0082020000386</t>
  </si>
  <si>
    <t>LATE PAY INTEREST</t>
  </si>
  <si>
    <t>NAMES</t>
  </si>
  <si>
    <t xml:space="preserve">   </t>
  </si>
  <si>
    <t>36B</t>
  </si>
  <si>
    <t>37B</t>
  </si>
  <si>
    <t>SAMMY ONDARI</t>
  </si>
  <si>
    <t>A</t>
  </si>
  <si>
    <r>
      <t xml:space="preserve">The water bills are payable through the same account for monthly rent </t>
    </r>
    <r>
      <rPr>
        <b/>
        <sz val="11"/>
        <rFont val="Calibri"/>
      </rPr>
      <t>strictly through:</t>
    </r>
  </si>
  <si>
    <t>ESTIMATE</t>
  </si>
  <si>
    <t>OLE SAMEDHA APARTMENTS-Kitengela</t>
  </si>
  <si>
    <t>Any default in Rent payment by 10th of the following month the house shall be locked without notice and belongings removed for re-letting.</t>
  </si>
  <si>
    <t>PENALTY LATE PAYMENT</t>
  </si>
  <si>
    <t>salary</t>
  </si>
  <si>
    <t>ECBKL 28/2/2018</t>
  </si>
  <si>
    <t>EARLY DISCOUNT 3%</t>
  </si>
  <si>
    <t>MAY</t>
  </si>
  <si>
    <t>JUNE</t>
  </si>
  <si>
    <t>JUL</t>
  </si>
  <si>
    <t>TAX DUE</t>
  </si>
  <si>
    <t>VAR</t>
  </si>
  <si>
    <t>a</t>
  </si>
  <si>
    <t>GARBAGE FEE</t>
  </si>
  <si>
    <t>G</t>
  </si>
  <si>
    <t>cost @200/=</t>
  </si>
  <si>
    <t>6A</t>
  </si>
  <si>
    <t>1B</t>
  </si>
  <si>
    <t>2B</t>
  </si>
  <si>
    <t>3B</t>
  </si>
  <si>
    <t>4B</t>
  </si>
  <si>
    <t>5B</t>
  </si>
  <si>
    <t>1C</t>
  </si>
  <si>
    <t>2C</t>
  </si>
  <si>
    <t>3C</t>
  </si>
  <si>
    <t>4C</t>
  </si>
  <si>
    <t>5C</t>
  </si>
  <si>
    <t>6C</t>
  </si>
  <si>
    <t>1D</t>
  </si>
  <si>
    <t>2D</t>
  </si>
  <si>
    <t>3D</t>
  </si>
  <si>
    <t>4D</t>
  </si>
  <si>
    <t>5D</t>
  </si>
  <si>
    <t>6D</t>
  </si>
  <si>
    <t>1E</t>
  </si>
  <si>
    <t>2E</t>
  </si>
  <si>
    <t>3E</t>
  </si>
  <si>
    <t>4E</t>
  </si>
  <si>
    <t>5E</t>
  </si>
  <si>
    <t>6E</t>
  </si>
  <si>
    <t>7E</t>
  </si>
  <si>
    <t>1F</t>
  </si>
  <si>
    <t>2F</t>
  </si>
  <si>
    <t>3F</t>
  </si>
  <si>
    <t>4F</t>
  </si>
  <si>
    <t>5F</t>
  </si>
  <si>
    <t>6F</t>
  </si>
  <si>
    <t>7F</t>
  </si>
  <si>
    <t>1G</t>
  </si>
  <si>
    <t>2G</t>
  </si>
  <si>
    <t>3G</t>
  </si>
  <si>
    <t>4G</t>
  </si>
  <si>
    <t>5G</t>
  </si>
  <si>
    <t>6G</t>
  </si>
  <si>
    <t>1H</t>
  </si>
  <si>
    <t>2H</t>
  </si>
  <si>
    <t>3H</t>
  </si>
  <si>
    <t>4H</t>
  </si>
  <si>
    <t>5H</t>
  </si>
  <si>
    <t>6H</t>
  </si>
  <si>
    <t xml:space="preserve">OLE SAMEDHA PREMIER HOSTELS </t>
  </si>
  <si>
    <t>AHMED</t>
  </si>
  <si>
    <t>MOHAMED</t>
  </si>
  <si>
    <t xml:space="preserve">      CFC STANBIC BANK  Limited</t>
  </si>
  <si>
    <t xml:space="preserve">         KENYATTA AVE Branch</t>
  </si>
  <si>
    <t xml:space="preserve">         A/C  NO. 0100000717635</t>
  </si>
  <si>
    <t xml:space="preserve"> MPESA, PAYBILL CFC STANBIC BANK 600100 A/C NO. 0100000717635, Add 40/= for charges</t>
  </si>
  <si>
    <t xml:space="preserve">        </t>
  </si>
  <si>
    <t>Till: 4536508</t>
  </si>
  <si>
    <t>Once you’ve made the payment, please forward the details to 0700 194 262</t>
  </si>
  <si>
    <t>.</t>
  </si>
  <si>
    <t>YUSUF</t>
  </si>
  <si>
    <t xml:space="preserve">NASRA </t>
  </si>
  <si>
    <t>NADYA JAMAL &amp; AMINA ABDUL</t>
  </si>
  <si>
    <t>ABASS</t>
  </si>
  <si>
    <t>RID WAH ABDULLAH</t>
  </si>
  <si>
    <t>ABDIAZIZ ABDI</t>
  </si>
  <si>
    <t>MUHAMMED NASIR</t>
  </si>
  <si>
    <t>AMER ALAMRY</t>
  </si>
  <si>
    <t>SABRIA MOHAMMED</t>
  </si>
  <si>
    <t>ZEITUN</t>
  </si>
  <si>
    <t>ABDI NALMA</t>
  </si>
  <si>
    <t>PREVIOUS</t>
  </si>
  <si>
    <t>ABDUL</t>
  </si>
  <si>
    <t>ASIYA</t>
  </si>
  <si>
    <t>MUNIRA</t>
  </si>
  <si>
    <t>MOHAMMED</t>
  </si>
  <si>
    <t>NEW</t>
  </si>
  <si>
    <t>RIDHWAN</t>
  </si>
  <si>
    <t>AIRHA</t>
  </si>
  <si>
    <t>RIYAQ MOHAMMED</t>
  </si>
  <si>
    <t>SALIM ABDULL</t>
  </si>
  <si>
    <t>QATRA</t>
  </si>
  <si>
    <t>TUSMA</t>
  </si>
  <si>
    <t>FOZIA YUSSUF</t>
  </si>
  <si>
    <t>ASMA</t>
  </si>
  <si>
    <t>ZAHRA           AISHA</t>
  </si>
  <si>
    <t>ZAKARIA</t>
  </si>
  <si>
    <t>ISMAHAN    MAIMUNA</t>
  </si>
  <si>
    <t>ADEN SAID</t>
  </si>
  <si>
    <t>TALIB AHMED</t>
  </si>
  <si>
    <t>FILSAN</t>
  </si>
  <si>
    <t xml:space="preserve"> RAHMA   FATUMA</t>
  </si>
  <si>
    <t>FOZIA MARYAN</t>
  </si>
  <si>
    <t>ALBASHIR</t>
  </si>
  <si>
    <t>OSAMA ABDULAHI</t>
  </si>
  <si>
    <t xml:space="preserve">RAMADHAN </t>
  </si>
  <si>
    <t>KHADIJA</t>
  </si>
  <si>
    <t xml:space="preserve">NASRA  </t>
  </si>
  <si>
    <t>HALIMA</t>
  </si>
  <si>
    <t>BAHATI</t>
  </si>
  <si>
    <t>PAY BILL 4139271  ACC NO  UM 1A</t>
  </si>
  <si>
    <t>PAY BILL 4139271  ACC NO  UM 2A</t>
  </si>
  <si>
    <t>PAYBILL 4139271 ACC NO UM 3A</t>
  </si>
  <si>
    <t>PAY BILL 4139271 ACC NO UM 4A</t>
  </si>
  <si>
    <t>PAY BILL 4139271 ACC NO  UM 5A</t>
  </si>
  <si>
    <t>PAY BILL 4139271 ACC NO  UM 6A</t>
  </si>
  <si>
    <t>PAY BILL 4139271 ACC NO UM 1B</t>
  </si>
  <si>
    <t>PAY BILL 4139271 ACC NO UM 2B</t>
  </si>
  <si>
    <t>PAY BILL 4139271 ACC NO UM 3B</t>
  </si>
  <si>
    <t>PAY BILL 4139271 ACC NO UM 4B</t>
  </si>
  <si>
    <t>PAYBILL 4139271 ACC NO UM 5B</t>
  </si>
  <si>
    <t>PAY BILL 4139271  ACC NO UM 6B</t>
  </si>
  <si>
    <t>PAY BILL 4139271 ACC NO UM 1C</t>
  </si>
  <si>
    <t>PAY BILL 4139271 ACC NO UM 2C</t>
  </si>
  <si>
    <t>PAY BILL 4139271 ACC NO  UM 3C</t>
  </si>
  <si>
    <t>PAYBILL 4139271 ACC NO UM 4C</t>
  </si>
  <si>
    <t>PAY BILL 4139271 ACC NO UM 5C</t>
  </si>
  <si>
    <t>PAY BILL 4139271 ACC NO UM 6C</t>
  </si>
  <si>
    <t>PAY BILL 4139271   ACC NO  UM 1D</t>
  </si>
  <si>
    <t>PAY BILL 4139271 ACC NO UM 2D</t>
  </si>
  <si>
    <t>PAY BILL 4139271 ACC NO UM 3D</t>
  </si>
  <si>
    <t>PAY BILL 4139271 ACC NO UM 4D</t>
  </si>
  <si>
    <t>PAY BILL 4139271 ACC NO UM 5D</t>
  </si>
  <si>
    <t>PAY BILL 4139271 ACC NO UM 6D</t>
  </si>
  <si>
    <t>PAY BILL 4139271 ACC NO  UM 1E</t>
  </si>
  <si>
    <t>PAY BILL 4139271 ACC NO UM 2E</t>
  </si>
  <si>
    <t>PAY BILL 4139271 ACC NO UM 3E</t>
  </si>
  <si>
    <t>PAY BILL 4139271 ACC NO  UM 4E</t>
  </si>
  <si>
    <t>PAY BILL 4139271 ACC NO UM 5E</t>
  </si>
  <si>
    <t>PAY BILL 4139271 ACC NO  UM 6E</t>
  </si>
  <si>
    <t>PAY BILL 4139271 ACC NO  UM 7E</t>
  </si>
  <si>
    <t>PAY BILL 4139271 ACC NO  UM 1F</t>
  </si>
  <si>
    <t>PAY BILL 4139271 ACC NO  UM 2F</t>
  </si>
  <si>
    <t>PAY BILL 4139271 ACC NO UM 3F</t>
  </si>
  <si>
    <t>PAY BILL 4139271 ACC NO  UM 4F</t>
  </si>
  <si>
    <t>PAY BILL 4139271  ACC NO UM 5F</t>
  </si>
  <si>
    <t>PAY BILL 4139271 ACC NO UM 6F</t>
  </si>
  <si>
    <t>PAY BILL 4139271 ACC NO UM 7F</t>
  </si>
  <si>
    <t>PAY BILL 4139271  ACC NO UM 1G</t>
  </si>
  <si>
    <t>PAY BILL 4139271 ACC NO UM 2G</t>
  </si>
  <si>
    <t>PAYBILL 4139271 ACC NO UM 3G</t>
  </si>
  <si>
    <t>PAY BILL 4139271 ACC NO UM 4G</t>
  </si>
  <si>
    <t>PAY BILL 4139271 ACC NO UM 5G</t>
  </si>
  <si>
    <t>PAY BILL 4139271 ACC NO UM 6G</t>
  </si>
  <si>
    <t>PAY BILL 4139271 ACC NO  UM 1H</t>
  </si>
  <si>
    <t>PAY BILL 4139271 ACC NO UM 2H</t>
  </si>
  <si>
    <t>PAY BILL 4139271 ACC NO UM 3H</t>
  </si>
  <si>
    <t>PAY BILL 4139271 ACC NO UM 4H</t>
  </si>
  <si>
    <t>PAY BILL 4139271  ACC NO UM 5H</t>
  </si>
  <si>
    <t>PAY BILL 4139271 ACC NO UM 6H</t>
  </si>
  <si>
    <t>30TH JAN 2026</t>
  </si>
  <si>
    <t>5TH FEB 2026</t>
  </si>
  <si>
    <t>NEW TENANT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</si>
</sst>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42" x14ac:knownFonts="1">
    <font>
      <sz val="11"/>
      <name val="Calibri"/>
    </font>
    <font>
      <sz val="11"/>
      <name val="Calibri"/>
    </font>
    <font>
      <b/>
      <sz val="18"/>
      <name val="Calibri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sz val="11"/>
      <name val="Calibri"/>
    </font>
    <font>
      <b/>
      <i/>
      <sz val="11"/>
      <name val="Calibri"/>
    </font>
    <font>
      <b/>
      <sz val="11"/>
      <name val="Calibri"/>
    </font>
    <font>
      <i/>
      <sz val="11"/>
      <name val="Calibri"/>
    </font>
    <font>
      <b/>
      <i/>
      <sz val="11"/>
      <name val="Calibri"/>
    </font>
    <font>
      <sz val="11"/>
      <name val="Calibri"/>
    </font>
    <font>
      <sz val="11"/>
      <color rgb="FFFF0000"/>
      <name val="Calibri"/>
    </font>
    <font>
      <b/>
      <sz val="11"/>
      <color rgb="FFFF0000"/>
      <name val="Calibri"/>
    </font>
    <font>
      <sz val="16"/>
      <name val="Calibri"/>
      <charset val="204"/>
    </font>
    <font>
      <b/>
      <sz val="16"/>
      <name val="Calibri"/>
      <charset val="204"/>
    </font>
    <font>
      <sz val="16"/>
      <color rgb="FF000000"/>
      <name val="Calibri"/>
    </font>
    <font>
      <sz val="16"/>
      <color rgb="FF000000"/>
      <name val="Calibri"/>
      <charset val="204"/>
    </font>
    <font>
      <sz val="16"/>
      <color rgb="FFFF0000"/>
      <name val="Calibri"/>
      <charset val="204"/>
    </font>
    <font>
      <sz val="11"/>
      <color rgb="FF000000"/>
      <name val="Calibri"/>
    </font>
    <font>
      <sz val="11"/>
      <color rgb="FF000000"/>
      <name val="Calibri"/>
    </font>
    <font>
      <sz val="16"/>
      <name val="Calibri"/>
    </font>
    <font>
      <sz val="16"/>
      <color rgb="FF00B050"/>
      <name val="Calibri"/>
    </font>
    <font>
      <sz val="16"/>
      <color rgb="FFFF0000"/>
      <name val="Calibri"/>
    </font>
    <font>
      <i/>
      <sz val="11"/>
      <color rgb="FF7F7F7F"/>
      <name val="Calibri"/>
    </font>
    <font>
      <b/>
      <i/>
      <sz val="11"/>
      <color rgb="FF7F7F7F"/>
      <name val="Arial Black"/>
    </font>
    <font>
      <sz val="11"/>
      <color rgb="FF000000"/>
      <name val="Calibri"/>
    </font>
    <font>
      <b/>
      <sz val="11"/>
      <color rgb="FF000000"/>
      <name val="Calibri"/>
    </font>
    <font>
      <sz val="16"/>
      <name val="Calibri"/>
      <family val="2"/>
    </font>
    <font>
      <sz val="16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i/>
      <sz val="12"/>
      <name val="Calibri"/>
      <family val="2"/>
    </font>
    <font>
      <i/>
      <sz val="12"/>
      <name val="Calibri"/>
      <family val="2"/>
    </font>
    <font>
      <b/>
      <i/>
      <sz val="18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b/>
      <i/>
      <sz val="16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i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43" fontId="26" fillId="0" borderId="0">
      <protection locked="0"/>
    </xf>
    <xf numFmtId="9" fontId="1" fillId="0" borderId="0">
      <protection locked="0"/>
    </xf>
    <xf numFmtId="0" fontId="24" fillId="0" borderId="0">
      <protection locked="0"/>
    </xf>
  </cellStyleXfs>
  <cellXfs count="147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5" fillId="0" borderId="1" xfId="0" applyFont="1" applyBorder="1" applyAlignment="1"/>
    <xf numFmtId="164" fontId="1" fillId="0" borderId="1" xfId="1" applyNumberFormat="1" applyFont="1" applyBorder="1" applyProtection="1"/>
    <xf numFmtId="0" fontId="6" fillId="0" borderId="1" xfId="0" applyFont="1" applyBorder="1" applyAlignment="1"/>
    <xf numFmtId="164" fontId="1" fillId="0" borderId="1" xfId="0" applyNumberFormat="1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9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14" fontId="1" fillId="0" borderId="1" xfId="0" applyNumberFormat="1" applyFont="1" applyBorder="1" applyAlignment="1">
      <alignment horizontal="left"/>
    </xf>
    <xf numFmtId="9" fontId="4" fillId="0" borderId="1" xfId="2" applyFont="1" applyBorder="1" applyProtection="1"/>
    <xf numFmtId="0" fontId="10" fillId="0" borderId="1" xfId="0" applyFont="1" applyBorder="1" applyAlignment="1"/>
    <xf numFmtId="0" fontId="11" fillId="0" borderId="1" xfId="0" applyFont="1" applyBorder="1" applyAlignment="1"/>
    <xf numFmtId="0" fontId="9" fillId="2" borderId="1" xfId="0" applyFont="1" applyFill="1" applyBorder="1" applyAlignment="1"/>
    <xf numFmtId="0" fontId="4" fillId="0" borderId="1" xfId="0" applyFont="1" applyBorder="1" applyAlignment="1">
      <alignment horizontal="left"/>
    </xf>
    <xf numFmtId="49" fontId="1" fillId="0" borderId="1" xfId="0" applyNumberFormat="1" applyFont="1" applyBorder="1" applyAlignment="1"/>
    <xf numFmtId="14" fontId="1" fillId="0" borderId="1" xfId="0" applyNumberFormat="1" applyFont="1" applyBorder="1" applyAlignment="1"/>
    <xf numFmtId="18" fontId="11" fillId="0" borderId="1" xfId="0" applyNumberFormat="1" applyFont="1" applyBorder="1" applyAlignment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indent="5"/>
    </xf>
    <xf numFmtId="0" fontId="9" fillId="3" borderId="1" xfId="0" applyFont="1" applyFill="1" applyBorder="1" applyAlignment="1"/>
    <xf numFmtId="43" fontId="4" fillId="0" borderId="1" xfId="1" applyFont="1" applyBorder="1" applyProtection="1"/>
    <xf numFmtId="43" fontId="1" fillId="0" borderId="1" xfId="0" applyNumberFormat="1" applyFont="1" applyBorder="1" applyAlignment="1"/>
    <xf numFmtId="0" fontId="4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5" fillId="0" borderId="0" xfId="0" applyFont="1" applyAlignment="1"/>
    <xf numFmtId="0" fontId="7" fillId="0" borderId="0" xfId="0" applyFont="1" applyAlignment="1"/>
    <xf numFmtId="0" fontId="1" fillId="0" borderId="7" xfId="0" applyFont="1" applyBorder="1" applyAlignment="1"/>
    <xf numFmtId="0" fontId="4" fillId="0" borderId="0" xfId="0" applyFont="1" applyAlignment="1"/>
    <xf numFmtId="0" fontId="9" fillId="3" borderId="7" xfId="0" applyFont="1" applyFill="1" applyBorder="1" applyAlignment="1"/>
    <xf numFmtId="0" fontId="9" fillId="0" borderId="0" xfId="0" applyFont="1" applyAlignment="1"/>
    <xf numFmtId="164" fontId="1" fillId="2" borderId="1" xfId="1" applyNumberFormat="1" applyFont="1" applyFill="1" applyBorder="1" applyProtection="1"/>
    <xf numFmtId="14" fontId="1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/>
    <xf numFmtId="0" fontId="13" fillId="0" borderId="1" xfId="0" applyFont="1" applyBorder="1" applyAlignment="1">
      <alignment horizontal="left" indent="5"/>
    </xf>
    <xf numFmtId="0" fontId="14" fillId="0" borderId="0" xfId="0" applyFont="1" applyAlignment="1"/>
    <xf numFmtId="0" fontId="14" fillId="4" borderId="0" xfId="0" applyFont="1" applyFill="1" applyAlignment="1"/>
    <xf numFmtId="164" fontId="14" fillId="0" borderId="0" xfId="1" applyNumberFormat="1" applyFont="1" applyProtection="1"/>
    <xf numFmtId="0" fontId="14" fillId="2" borderId="0" xfId="0" applyFont="1" applyFill="1" applyAlignment="1"/>
    <xf numFmtId="0" fontId="14" fillId="0" borderId="1" xfId="0" applyFont="1" applyBorder="1" applyAlignment="1"/>
    <xf numFmtId="0" fontId="14" fillId="4" borderId="1" xfId="0" applyFont="1" applyFill="1" applyBorder="1" applyAlignment="1"/>
    <xf numFmtId="164" fontId="14" fillId="0" borderId="1" xfId="1" applyNumberFormat="1" applyFont="1" applyBorder="1" applyProtection="1"/>
    <xf numFmtId="0" fontId="14" fillId="2" borderId="1" xfId="0" applyFont="1" applyFill="1" applyBorder="1" applyAlignment="1"/>
    <xf numFmtId="0" fontId="15" fillId="0" borderId="0" xfId="0" applyFont="1" applyAlignment="1"/>
    <xf numFmtId="0" fontId="15" fillId="0" borderId="1" xfId="0" applyFont="1" applyBorder="1" applyAlignment="1"/>
    <xf numFmtId="0" fontId="15" fillId="4" borderId="1" xfId="0" applyFont="1" applyFill="1" applyBorder="1" applyAlignment="1"/>
    <xf numFmtId="164" fontId="15" fillId="0" borderId="1" xfId="1" applyNumberFormat="1" applyFont="1" applyBorder="1" applyProtection="1"/>
    <xf numFmtId="0" fontId="15" fillId="0" borderId="1" xfId="0" applyFont="1" applyBorder="1" applyAlignment="1">
      <alignment wrapText="1"/>
    </xf>
    <xf numFmtId="0" fontId="15" fillId="2" borderId="1" xfId="0" applyFont="1" applyFill="1" applyBorder="1" applyAlignment="1"/>
    <xf numFmtId="164" fontId="15" fillId="0" borderId="0" xfId="1" applyNumberFormat="1" applyFont="1" applyProtection="1"/>
    <xf numFmtId="0" fontId="16" fillId="0" borderId="0" xfId="0" applyFont="1" applyAlignment="1"/>
    <xf numFmtId="164" fontId="16" fillId="0" borderId="1" xfId="1" applyNumberFormat="1" applyFont="1" applyBorder="1" applyProtection="1"/>
    <xf numFmtId="0" fontId="16" fillId="0" borderId="1" xfId="0" applyFont="1" applyBorder="1" applyAlignment="1"/>
    <xf numFmtId="17" fontId="16" fillId="0" borderId="1" xfId="0" applyNumberFormat="1" applyFont="1" applyBorder="1" applyAlignment="1"/>
    <xf numFmtId="0" fontId="16" fillId="4" borderId="1" xfId="0" applyFont="1" applyFill="1" applyBorder="1" applyAlignment="1"/>
    <xf numFmtId="164" fontId="16" fillId="2" borderId="1" xfId="1" applyNumberFormat="1" applyFont="1" applyFill="1" applyBorder="1" applyProtection="1"/>
    <xf numFmtId="164" fontId="16" fillId="0" borderId="1" xfId="0" applyNumberFormat="1" applyFont="1" applyBorder="1" applyAlignment="1"/>
    <xf numFmtId="164" fontId="16" fillId="0" borderId="0" xfId="1" applyNumberFormat="1" applyFont="1" applyProtection="1"/>
    <xf numFmtId="164" fontId="14" fillId="0" borderId="1" xfId="0" applyNumberFormat="1" applyFont="1" applyBorder="1" applyAlignment="1"/>
    <xf numFmtId="0" fontId="17" fillId="0" borderId="0" xfId="0" applyFont="1" applyAlignment="1"/>
    <xf numFmtId="0" fontId="17" fillId="0" borderId="1" xfId="0" applyFont="1" applyBorder="1" applyAlignment="1"/>
    <xf numFmtId="164" fontId="17" fillId="0" borderId="1" xfId="1" applyNumberFormat="1" applyFont="1" applyBorder="1" applyProtection="1"/>
    <xf numFmtId="164" fontId="17" fillId="0" borderId="1" xfId="0" applyNumberFormat="1" applyFont="1" applyBorder="1" applyAlignment="1"/>
    <xf numFmtId="164" fontId="17" fillId="0" borderId="0" xfId="1" applyNumberFormat="1" applyFont="1" applyProtection="1"/>
    <xf numFmtId="0" fontId="18" fillId="2" borderId="0" xfId="0" applyFont="1" applyFill="1" applyAlignment="1"/>
    <xf numFmtId="164" fontId="14" fillId="0" borderId="0" xfId="0" applyNumberFormat="1" applyFont="1" applyAlignment="1"/>
    <xf numFmtId="0" fontId="19" fillId="0" borderId="0" xfId="0" applyFont="1">
      <alignment vertical="center"/>
    </xf>
    <xf numFmtId="0" fontId="18" fillId="0" borderId="0" xfId="0" applyFont="1" applyAlignment="1"/>
    <xf numFmtId="0" fontId="20" fillId="0" borderId="0" xfId="0" applyFont="1">
      <alignment vertical="center"/>
    </xf>
    <xf numFmtId="43" fontId="16" fillId="0" borderId="1" xfId="1" applyFont="1" applyBorder="1" applyProtection="1"/>
    <xf numFmtId="0" fontId="16" fillId="0" borderId="1" xfId="0" applyFont="1" applyBorder="1" applyAlignment="1">
      <alignment horizontal="right"/>
    </xf>
    <xf numFmtId="0" fontId="14" fillId="0" borderId="1" xfId="0" applyFont="1" applyBorder="1" applyAlignment="1">
      <alignment horizontal="right"/>
    </xf>
    <xf numFmtId="0" fontId="21" fillId="0" borderId="1" xfId="0" applyFont="1" applyBorder="1" applyAlignment="1"/>
    <xf numFmtId="0" fontId="15" fillId="5" borderId="0" xfId="0" applyFont="1" applyFill="1" applyAlignment="1"/>
    <xf numFmtId="0" fontId="11" fillId="5" borderId="0" xfId="0" applyFont="1" applyFill="1">
      <alignment vertical="center"/>
    </xf>
    <xf numFmtId="0" fontId="15" fillId="5" borderId="1" xfId="0" applyFont="1" applyFill="1" applyBorder="1" applyAlignment="1"/>
    <xf numFmtId="164" fontId="15" fillId="5" borderId="1" xfId="1" applyNumberFormat="1" applyFont="1" applyFill="1" applyBorder="1" applyProtection="1"/>
    <xf numFmtId="0" fontId="14" fillId="5" borderId="1" xfId="0" applyFont="1" applyFill="1" applyBorder="1" applyAlignment="1"/>
    <xf numFmtId="164" fontId="15" fillId="0" borderId="1" xfId="0" applyNumberFormat="1" applyFont="1" applyBorder="1" applyAlignment="1"/>
    <xf numFmtId="164" fontId="22" fillId="0" borderId="1" xfId="1" applyNumberFormat="1" applyFont="1" applyBorder="1" applyProtection="1"/>
    <xf numFmtId="0" fontId="22" fillId="0" borderId="1" xfId="0" applyFont="1" applyBorder="1" applyAlignment="1"/>
    <xf numFmtId="164" fontId="23" fillId="0" borderId="1" xfId="1" applyNumberFormat="1" applyFont="1" applyBorder="1" applyProtection="1"/>
    <xf numFmtId="0" fontId="23" fillId="0" borderId="1" xfId="0" applyFont="1" applyBorder="1" applyAlignment="1"/>
    <xf numFmtId="164" fontId="14" fillId="4" borderId="1" xfId="0" applyNumberFormat="1" applyFont="1" applyFill="1" applyBorder="1" applyAlignment="1"/>
    <xf numFmtId="164" fontId="14" fillId="2" borderId="1" xfId="0" applyNumberFormat="1" applyFont="1" applyFill="1" applyBorder="1" applyAlignment="1"/>
    <xf numFmtId="0" fontId="14" fillId="0" borderId="1" xfId="0" applyFont="1" applyBorder="1" applyAlignment="1">
      <alignment wrapText="1"/>
    </xf>
    <xf numFmtId="0" fontId="24" fillId="0" borderId="0" xfId="3" applyAlignment="1" applyProtection="1">
      <alignment vertical="center"/>
    </xf>
    <xf numFmtId="0" fontId="25" fillId="0" borderId="0" xfId="3" applyFont="1" applyProtection="1"/>
    <xf numFmtId="0" fontId="24" fillId="0" borderId="0" xfId="3" applyProtection="1"/>
    <xf numFmtId="0" fontId="24" fillId="4" borderId="0" xfId="3" applyFill="1" applyProtection="1"/>
    <xf numFmtId="164" fontId="24" fillId="0" borderId="0" xfId="3" applyNumberFormat="1" applyProtection="1"/>
    <xf numFmtId="0" fontId="24" fillId="2" borderId="0" xfId="3" applyFill="1" applyProtection="1"/>
    <xf numFmtId="164" fontId="18" fillId="0" borderId="0" xfId="0" applyNumberFormat="1" applyFont="1" applyAlignment="1"/>
    <xf numFmtId="3" fontId="14" fillId="0" borderId="0" xfId="0" applyNumberFormat="1" applyFont="1" applyAlignment="1"/>
    <xf numFmtId="165" fontId="14" fillId="0" borderId="0" xfId="1" applyNumberFormat="1" applyFont="1" applyProtection="1"/>
    <xf numFmtId="164" fontId="26" fillId="0" borderId="0" xfId="1" applyNumberFormat="1" applyProtection="1"/>
    <xf numFmtId="164" fontId="27" fillId="0" borderId="0" xfId="1" applyNumberFormat="1" applyFont="1" applyProtection="1"/>
    <xf numFmtId="0" fontId="28" fillId="0" borderId="1" xfId="0" applyFont="1" applyBorder="1" applyAlignment="1"/>
    <xf numFmtId="0" fontId="29" fillId="0" borderId="1" xfId="0" applyFont="1" applyBorder="1" applyAlignment="1"/>
    <xf numFmtId="0" fontId="30" fillId="0" borderId="1" xfId="0" applyFont="1" applyBorder="1" applyAlignment="1"/>
    <xf numFmtId="0" fontId="31" fillId="0" borderId="1" xfId="0" applyFont="1" applyBorder="1" applyAlignment="1"/>
    <xf numFmtId="0" fontId="30" fillId="0" borderId="0" xfId="0" applyFont="1">
      <alignment vertical="center"/>
    </xf>
    <xf numFmtId="14" fontId="30" fillId="0" borderId="1" xfId="0" applyNumberFormat="1" applyFont="1" applyBorder="1" applyAlignment="1">
      <alignment horizontal="left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right"/>
    </xf>
    <xf numFmtId="164" fontId="30" fillId="0" borderId="1" xfId="1" applyNumberFormat="1" applyFont="1" applyBorder="1" applyProtection="1"/>
    <xf numFmtId="164" fontId="30" fillId="0" borderId="1" xfId="0" applyNumberFormat="1" applyFont="1" applyBorder="1" applyAlignment="1"/>
    <xf numFmtId="3" fontId="30" fillId="0" borderId="1" xfId="0" applyNumberFormat="1" applyFont="1" applyBorder="1" applyAlignment="1"/>
    <xf numFmtId="0" fontId="32" fillId="0" borderId="1" xfId="0" applyFont="1" applyBorder="1" applyAlignment="1"/>
    <xf numFmtId="0" fontId="33" fillId="2" borderId="1" xfId="0" applyFont="1" applyFill="1" applyBorder="1" applyAlignment="1"/>
    <xf numFmtId="0" fontId="33" fillId="0" borderId="1" xfId="0" applyFont="1" applyBorder="1" applyAlignment="1"/>
    <xf numFmtId="0" fontId="0" fillId="0" borderId="1" xfId="0" applyBorder="1" applyAlignment="1"/>
    <xf numFmtId="0" fontId="34" fillId="0" borderId="1" xfId="0" applyFont="1" applyBorder="1" applyAlignment="1"/>
    <xf numFmtId="0" fontId="35" fillId="0" borderId="1" xfId="0" applyFont="1" applyBorder="1" applyAlignment="1"/>
    <xf numFmtId="0" fontId="36" fillId="0" borderId="1" xfId="0" applyFont="1" applyBorder="1" applyAlignment="1"/>
    <xf numFmtId="0" fontId="37" fillId="0" borderId="1" xfId="0" applyFont="1" applyBorder="1" applyAlignment="1"/>
    <xf numFmtId="0" fontId="40" fillId="0" borderId="1" xfId="0" applyFont="1" applyBorder="1" applyAlignment="1"/>
    <xf numFmtId="0" fontId="37" fillId="0" borderId="1" xfId="0" applyFont="1" applyBorder="1" applyAlignment="1">
      <alignment wrapText="1"/>
    </xf>
    <xf numFmtId="0" fontId="38" fillId="0" borderId="1" xfId="0" applyFont="1" applyBorder="1" applyAlignment="1"/>
    <xf numFmtId="0" fontId="41" fillId="0" borderId="1" xfId="0" applyFont="1" applyBorder="1" applyAlignment="1"/>
    <xf numFmtId="0" fontId="39" fillId="0" borderId="1" xfId="0" applyFont="1" applyBorder="1" applyAlignment="1"/>
    <xf numFmtId="0" fontId="35" fillId="0" borderId="1" xfId="0" applyFont="1" applyBorder="1" applyAlignment="1">
      <alignment wrapText="1"/>
    </xf>
    <xf numFmtId="14" fontId="40" fillId="0" borderId="1" xfId="0" applyNumberFormat="1" applyFont="1" applyBorder="1" applyAlignment="1">
      <alignment horizontal="left"/>
    </xf>
  </cellXfs>
  <cellStyles count="4">
    <cellStyle name="Comma" xfId="1" builtinId="3"/>
    <cellStyle name="Explanatory Text" xfId="3" xr:uid="{00000000-0005-0000-0000-000003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www.wps.cn/officeDocument/2020/cellImage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105833</xdr:colOff>
      <xdr:row>50</xdr:row>
      <xdr:rowOff>67813</xdr:rowOff>
    </xdr:from>
    <xdr:to>
      <xdr:col>18</xdr:col>
      <xdr:colOff>504152</xdr:colOff>
      <xdr:row>52</xdr:row>
      <xdr:rowOff>31750</xdr:rowOff>
    </xdr:to>
    <xdr:pic>
      <xdr:nvPicPr>
        <xdr:cNvPr id="3" name="Picture 2" descr="PAY BILL 4139271&#10;ACC NO UM 1A&#10; ">
          <a:extLst>
            <a:ext uri="{FF2B5EF4-FFF2-40B4-BE49-F238E27FC236}">
              <a16:creationId xmlns:a16="http://schemas.microsoft.com/office/drawing/2014/main" id="{36BC7A94-9384-A7F4-56F4-D0511BB5E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flipV="1">
          <a:off x="6508750" y="9719813"/>
          <a:ext cx="7499735" cy="323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2003386</xdr:colOff>
      <xdr:row>64</xdr:row>
      <xdr:rowOff>172357</xdr:rowOff>
    </xdr:from>
    <xdr:to>
      <xdr:col>6</xdr:col>
      <xdr:colOff>798286</xdr:colOff>
      <xdr:row>65</xdr:row>
      <xdr:rowOff>95801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8100" y="12155714"/>
          <a:ext cx="2831686" cy="10487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1156231</xdr:colOff>
      <xdr:row>0</xdr:row>
      <xdr:rowOff>0</xdr:rowOff>
    </xdr:from>
    <xdr:to>
      <xdr:col>3</xdr:col>
      <xdr:colOff>2741217</xdr:colOff>
      <xdr:row>59</xdr:row>
      <xdr:rowOff>0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 rot="18096816">
          <a:off x="-2368976" y="5255041"/>
          <a:ext cx="11479064" cy="96898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370894</xdr:colOff>
      <xdr:row>0</xdr:row>
      <xdr:rowOff>0</xdr:rowOff>
    </xdr:from>
    <xdr:to>
      <xdr:col>11</xdr:col>
      <xdr:colOff>345442</xdr:colOff>
      <xdr:row>1</xdr:row>
      <xdr:rowOff>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4529" y="17933"/>
          <a:ext cx="11391979" cy="229626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52"/>
  <sheetViews>
    <sheetView zoomScale="60" workbookViewId="0">
      <selection activeCell="C12" sqref="C12"/>
    </sheetView>
  </sheetViews>
  <sheetFormatPr defaultColWidth="9" defaultRowHeight="14.5" x14ac:dyDescent="0.35"/>
  <cols>
    <col min="1" max="1" width="5.81640625" style="1" customWidth="1"/>
    <col min="2" max="2" width="25.54296875" style="1" customWidth="1"/>
    <col min="3" max="3" width="29.54296875" style="1" customWidth="1"/>
    <col min="4" max="4" width="5.81640625" style="1" customWidth="1"/>
    <col min="5" max="5" width="15.7265625" style="1" customWidth="1"/>
    <col min="6" max="7" width="9.1796875" style="1" customWidth="1"/>
    <col min="8" max="8" width="7.7265625" style="1" customWidth="1"/>
    <col min="9" max="9" width="10.7265625" style="1" customWidth="1"/>
    <col min="10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164</v>
      </c>
    </row>
    <row r="2" spans="2:15" x14ac:dyDescent="0.35">
      <c r="B2" s="1" t="s">
        <v>35</v>
      </c>
      <c r="N2" s="1" t="s">
        <v>115</v>
      </c>
      <c r="O2" s="1" t="s">
        <v>114</v>
      </c>
    </row>
    <row r="3" spans="2:15" ht="18.5" x14ac:dyDescent="0.45">
      <c r="B3" s="3" t="s">
        <v>0</v>
      </c>
      <c r="G3" s="1" t="s">
        <v>6</v>
      </c>
      <c r="H3" s="1">
        <v>38</v>
      </c>
      <c r="N3" s="1">
        <f>O3-Q3</f>
        <v>10270</v>
      </c>
      <c r="O3" s="1">
        <v>10270</v>
      </c>
    </row>
    <row r="4" spans="2:15" x14ac:dyDescent="0.35">
      <c r="N4" s="1">
        <f t="shared" ref="N4:N38" si="0">O4-Q4</f>
        <v>10304</v>
      </c>
      <c r="O4" s="1">
        <v>10304</v>
      </c>
    </row>
    <row r="5" spans="2:15" x14ac:dyDescent="0.35">
      <c r="B5" s="1" t="s">
        <v>7</v>
      </c>
      <c r="C5" s="4" t="str">
        <f>meter!B4</f>
        <v>ABDI NALMA</v>
      </c>
      <c r="N5" s="1">
        <f t="shared" si="0"/>
        <v>10988</v>
      </c>
      <c r="O5" s="1">
        <v>10988</v>
      </c>
    </row>
    <row r="6" spans="2:15" x14ac:dyDescent="0.35">
      <c r="N6" s="1">
        <f t="shared" si="0"/>
        <v>11070</v>
      </c>
      <c r="O6" s="1">
        <v>11070</v>
      </c>
    </row>
    <row r="7" spans="2:15" x14ac:dyDescent="0.35">
      <c r="B7" s="1" t="s">
        <v>56</v>
      </c>
      <c r="C7" s="1" t="s">
        <v>21</v>
      </c>
      <c r="N7" s="1">
        <f t="shared" si="0"/>
        <v>1197</v>
      </c>
      <c r="O7" s="1">
        <v>1197</v>
      </c>
    </row>
    <row r="8" spans="2:15" x14ac:dyDescent="0.35">
      <c r="N8" s="1">
        <f t="shared" si="0"/>
        <v>9250</v>
      </c>
      <c r="O8" s="1">
        <v>9250</v>
      </c>
    </row>
    <row r="9" spans="2:15" x14ac:dyDescent="0.35">
      <c r="B9" s="1" t="s">
        <v>1</v>
      </c>
      <c r="C9" s="146" t="s">
        <v>265</v>
      </c>
      <c r="N9" s="1">
        <f t="shared" si="0"/>
        <v>8770</v>
      </c>
      <c r="O9" s="1">
        <v>8770</v>
      </c>
    </row>
    <row r="10" spans="2:15" x14ac:dyDescent="0.35">
      <c r="N10" s="1">
        <f t="shared" si="0"/>
        <v>23190</v>
      </c>
      <c r="O10" s="1">
        <v>23190</v>
      </c>
    </row>
    <row r="11" spans="2:15" x14ac:dyDescent="0.35">
      <c r="B11" s="1" t="s">
        <v>2</v>
      </c>
      <c r="C11" s="146" t="s">
        <v>266</v>
      </c>
      <c r="N11" s="1">
        <f t="shared" si="0"/>
        <v>10910</v>
      </c>
      <c r="O11" s="1">
        <v>10910</v>
      </c>
    </row>
    <row r="12" spans="2:15" x14ac:dyDescent="0.35"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ht="30.75" customHeight="1" x14ac:dyDescent="0.35">
      <c r="B14" s="5" t="s">
        <v>24</v>
      </c>
      <c r="C14" s="6" t="s">
        <v>4</v>
      </c>
      <c r="E14" s="6" t="s">
        <v>23</v>
      </c>
      <c r="N14" s="1">
        <f t="shared" si="0"/>
        <v>11070</v>
      </c>
      <c r="O14" s="1">
        <v>11070</v>
      </c>
    </row>
    <row r="15" spans="2:15" ht="47.25" customHeight="1" x14ac:dyDescent="0.35">
      <c r="B15" s="7">
        <f>meter!E4</f>
        <v>23</v>
      </c>
      <c r="C15" s="7">
        <f>meter!F4</f>
        <v>24</v>
      </c>
      <c r="D15" s="1" t="s">
        <v>18</v>
      </c>
      <c r="E15" s="8">
        <f>C15-B15</f>
        <v>1</v>
      </c>
      <c r="N15" s="1">
        <f t="shared" si="0"/>
        <v>9090</v>
      </c>
      <c r="O15" s="1">
        <v>9090</v>
      </c>
    </row>
    <row r="16" spans="2:15" x14ac:dyDescent="0.35">
      <c r="E16" s="1" t="s">
        <v>61</v>
      </c>
      <c r="N16" s="1">
        <f t="shared" si="0"/>
        <v>9420</v>
      </c>
      <c r="O16" s="1">
        <v>9420</v>
      </c>
    </row>
    <row r="17" spans="2:15" x14ac:dyDescent="0.35">
      <c r="C17" s="1" t="s">
        <v>31</v>
      </c>
      <c r="D17" s="1" t="s">
        <v>22</v>
      </c>
      <c r="E17" s="1">
        <f>meter!O4</f>
        <v>0</v>
      </c>
      <c r="N17" s="1">
        <f t="shared" si="0"/>
        <v>11154</v>
      </c>
      <c r="O17" s="1">
        <v>11154</v>
      </c>
    </row>
    <row r="18" spans="2:15" ht="15.5" x14ac:dyDescent="0.35">
      <c r="B18" s="9"/>
      <c r="N18" s="1">
        <f t="shared" si="0"/>
        <v>10430</v>
      </c>
      <c r="O18" s="1">
        <v>10430</v>
      </c>
    </row>
    <row r="19" spans="2:15" x14ac:dyDescent="0.35">
      <c r="C19" s="1" t="s">
        <v>44</v>
      </c>
      <c r="D19" s="1" t="s">
        <v>22</v>
      </c>
      <c r="E19" s="1">
        <f>meter!I4</f>
        <v>150</v>
      </c>
      <c r="N19" s="1">
        <f t="shared" si="0"/>
        <v>11831</v>
      </c>
      <c r="O19" s="1">
        <v>11831</v>
      </c>
    </row>
    <row r="20" spans="2:15" x14ac:dyDescent="0.35">
      <c r="N20" s="1">
        <f t="shared" si="0"/>
        <v>10590</v>
      </c>
      <c r="O20" s="1">
        <v>10590</v>
      </c>
    </row>
    <row r="21" spans="2:15" x14ac:dyDescent="0.35">
      <c r="C21" s="1" t="s">
        <v>80</v>
      </c>
      <c r="D21" s="1" t="s">
        <v>22</v>
      </c>
      <c r="E21" s="1">
        <f>meter!J4</f>
        <v>0</v>
      </c>
      <c r="N21" s="1">
        <f t="shared" si="0"/>
        <v>22423</v>
      </c>
      <c r="O21" s="1">
        <v>22423</v>
      </c>
    </row>
    <row r="22" spans="2:15" x14ac:dyDescent="0.35">
      <c r="N22" s="1">
        <f t="shared" si="0"/>
        <v>9250</v>
      </c>
      <c r="O22" s="1">
        <v>9250</v>
      </c>
    </row>
    <row r="23" spans="2:15" x14ac:dyDescent="0.35">
      <c r="C23" s="1" t="s">
        <v>25</v>
      </c>
      <c r="D23" s="1" t="s">
        <v>22</v>
      </c>
      <c r="E23" s="10">
        <f>meter!N4</f>
        <v>7000</v>
      </c>
      <c r="N23" s="1">
        <f t="shared" si="0"/>
        <v>10162</v>
      </c>
      <c r="O23" s="1">
        <v>10162</v>
      </c>
    </row>
    <row r="24" spans="2:15" x14ac:dyDescent="0.35">
      <c r="N24" s="1">
        <f t="shared" si="0"/>
        <v>10270</v>
      </c>
      <c r="O24" s="1">
        <v>10270</v>
      </c>
    </row>
    <row r="25" spans="2:15" x14ac:dyDescent="0.35">
      <c r="C25" s="1" t="s">
        <v>30</v>
      </c>
      <c r="D25" s="1" t="s">
        <v>22</v>
      </c>
      <c r="E25" s="1">
        <v>0</v>
      </c>
      <c r="N25" s="1">
        <f t="shared" si="0"/>
        <v>11070</v>
      </c>
      <c r="O25" s="1">
        <v>11070</v>
      </c>
    </row>
    <row r="26" spans="2:15" x14ac:dyDescent="0.35">
      <c r="C26" s="11" t="s">
        <v>117</v>
      </c>
      <c r="D26" s="11" t="s">
        <v>22</v>
      </c>
      <c r="N26" s="1">
        <f t="shared" si="0"/>
        <v>11550</v>
      </c>
      <c r="O26" s="1">
        <v>11550</v>
      </c>
    </row>
    <row r="27" spans="2:15" x14ac:dyDescent="0.35">
      <c r="C27" s="1" t="s">
        <v>96</v>
      </c>
      <c r="D27" s="1" t="s">
        <v>22</v>
      </c>
      <c r="E27" s="10">
        <f>IF(E17*6%*3&lt;0,0,E17*6%*3)</f>
        <v>0</v>
      </c>
      <c r="N27" s="1">
        <f t="shared" si="0"/>
        <v>11393</v>
      </c>
      <c r="O27" s="1">
        <v>11393</v>
      </c>
    </row>
    <row r="28" spans="2:15" x14ac:dyDescent="0.35">
      <c r="G28" s="12"/>
      <c r="N28" s="1">
        <f t="shared" si="0"/>
        <v>10802</v>
      </c>
      <c r="O28" s="1">
        <v>10802</v>
      </c>
    </row>
    <row r="29" spans="2:15" x14ac:dyDescent="0.35">
      <c r="C29" s="1" t="s">
        <v>11</v>
      </c>
      <c r="D29" s="1" t="s">
        <v>22</v>
      </c>
      <c r="E29" s="10">
        <f>E17+E19+E21+E23+E25+E26+E27</f>
        <v>7150</v>
      </c>
      <c r="G29" s="12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E30" s="10"/>
      <c r="N30" s="1">
        <f t="shared" si="0"/>
        <v>9570</v>
      </c>
      <c r="O30" s="1">
        <v>9570</v>
      </c>
    </row>
    <row r="31" spans="2:15" x14ac:dyDescent="0.35">
      <c r="C31" s="1" t="s">
        <v>34</v>
      </c>
      <c r="E31" s="10">
        <f>meter!T4</f>
        <v>0</v>
      </c>
      <c r="N31" s="1">
        <f t="shared" si="0"/>
        <v>11390</v>
      </c>
      <c r="O31" s="1">
        <v>11390</v>
      </c>
    </row>
    <row r="32" spans="2:15" x14ac:dyDescent="0.35">
      <c r="E32" s="10"/>
      <c r="N32" s="1">
        <f t="shared" si="0"/>
        <v>10750</v>
      </c>
      <c r="O32" s="1">
        <v>10750</v>
      </c>
    </row>
    <row r="33" spans="1:18" x14ac:dyDescent="0.35">
      <c r="C33" s="1" t="s">
        <v>87</v>
      </c>
      <c r="E33" s="12">
        <f>E29-E31</f>
        <v>7150</v>
      </c>
      <c r="N33" s="1">
        <f t="shared" si="0"/>
        <v>11732</v>
      </c>
      <c r="O33" s="1">
        <v>11732</v>
      </c>
    </row>
    <row r="34" spans="1:18" ht="15.5" x14ac:dyDescent="0.35">
      <c r="B34" s="9" t="s">
        <v>12</v>
      </c>
      <c r="N34" s="1">
        <f t="shared" si="0"/>
        <v>10934</v>
      </c>
      <c r="O34" s="1">
        <v>10934</v>
      </c>
      <c r="R34" s="1">
        <v>700</v>
      </c>
    </row>
    <row r="35" spans="1:18" x14ac:dyDescent="0.35">
      <c r="B35" s="13"/>
      <c r="N35" s="1">
        <f t="shared" si="0"/>
        <v>10270</v>
      </c>
      <c r="O35" s="1">
        <v>10270</v>
      </c>
    </row>
    <row r="36" spans="1:18" ht="23.5" x14ac:dyDescent="0.55000000000000004">
      <c r="B36" s="136" t="s">
        <v>215</v>
      </c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x14ac:dyDescent="0.35">
      <c r="B38" s="13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4"/>
    </row>
    <row r="43" spans="1:18" x14ac:dyDescent="0.35">
      <c r="B43" s="14"/>
    </row>
    <row r="44" spans="1:18" x14ac:dyDescent="0.35">
      <c r="B44" s="14"/>
      <c r="G44" s="15"/>
      <c r="H44" s="15"/>
      <c r="I44" s="15"/>
    </row>
    <row r="45" spans="1:18" x14ac:dyDescent="0.35">
      <c r="A45" s="15"/>
      <c r="B45" s="14"/>
    </row>
    <row r="46" spans="1:18" x14ac:dyDescent="0.35">
      <c r="B46" s="14"/>
    </row>
    <row r="47" spans="1:18" x14ac:dyDescent="0.35">
      <c r="B47" s="15"/>
      <c r="C47" s="15"/>
      <c r="D47" s="15"/>
      <c r="E47" s="15"/>
      <c r="F47" s="15"/>
    </row>
    <row r="48" spans="1:18" x14ac:dyDescent="0.35">
      <c r="B48" s="15"/>
    </row>
    <row r="49" spans="1:9" x14ac:dyDescent="0.35">
      <c r="A49" s="13"/>
      <c r="B49" s="14"/>
      <c r="G49" s="13"/>
      <c r="H49" s="13"/>
      <c r="I49" s="13"/>
    </row>
    <row r="50" spans="1:9" x14ac:dyDescent="0.35">
      <c r="A50" s="13"/>
      <c r="B50" s="4"/>
    </row>
    <row r="51" spans="1:9" x14ac:dyDescent="0.35">
      <c r="A51" s="13"/>
      <c r="B51" s="13"/>
    </row>
    <row r="52" spans="1:9" x14ac:dyDescent="0.35">
      <c r="A52" s="13"/>
      <c r="B52" s="13"/>
      <c r="C52" s="13"/>
      <c r="D52" s="13"/>
      <c r="E52" s="13"/>
      <c r="F52" s="13"/>
    </row>
  </sheetData>
  <pageMargins left="0.7" right="0.7" top="0.75" bottom="0.75" header="0.3" footer="0.3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V53"/>
  <sheetViews>
    <sheetView topLeftCell="A7" zoomScale="70" workbookViewId="0">
      <selection activeCell="D45" sqref="D45"/>
    </sheetView>
  </sheetViews>
  <sheetFormatPr defaultColWidth="9" defaultRowHeight="14.5" x14ac:dyDescent="0.35"/>
  <cols>
    <col min="1" max="1" width="0.1796875" style="1" customWidth="1"/>
    <col min="2" max="2" width="13.81640625" style="1" customWidth="1"/>
    <col min="3" max="3" width="9.1796875" style="1" customWidth="1"/>
    <col min="4" max="4" width="29.54296875" style="1" customWidth="1"/>
    <col min="5" max="5" width="9" style="1" customWidth="1"/>
    <col min="6" max="6" width="19.26953125" style="1" customWidth="1"/>
    <col min="7" max="7" width="35.1796875" style="1" customWidth="1"/>
    <col min="8" max="8" width="11.453125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36" customHeight="1" x14ac:dyDescent="0.55000000000000004">
      <c r="B2" s="2" t="s">
        <v>164</v>
      </c>
      <c r="C2" s="16"/>
      <c r="D2" s="17"/>
      <c r="E2" s="17"/>
      <c r="F2" s="17"/>
      <c r="G2" s="18"/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F4" s="1" t="s">
        <v>6</v>
      </c>
      <c r="G4" s="1">
        <f>'1A'!H3+2-1</f>
        <v>39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meter!B5</f>
        <v>NEW TENANT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56</v>
      </c>
      <c r="D8" s="1" t="s">
        <v>27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6" t="s">
        <v>24</v>
      </c>
      <c r="D15" s="6" t="s">
        <v>4</v>
      </c>
      <c r="F15" s="6" t="s">
        <v>23</v>
      </c>
      <c r="N15" s="1">
        <f t="shared" si="0"/>
        <v>9090</v>
      </c>
      <c r="O15" s="1">
        <v>9090</v>
      </c>
    </row>
    <row r="16" spans="2:15" x14ac:dyDescent="0.35">
      <c r="B16" s="7">
        <f>meter!E5</f>
        <v>34</v>
      </c>
      <c r="C16" s="7"/>
      <c r="D16" s="7">
        <f>meter!F5</f>
        <v>37</v>
      </c>
      <c r="E16" s="7" t="s">
        <v>18</v>
      </c>
      <c r="F16" s="8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H17" s="10"/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1" t="s">
        <v>22</v>
      </c>
      <c r="F18" s="10">
        <f>meter!O5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22</v>
      </c>
      <c r="F20" s="1">
        <f>meter!I5</f>
        <v>450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1" t="s">
        <v>22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1" t="s">
        <v>22</v>
      </c>
      <c r="F24" s="10">
        <f>meter!N5</f>
        <v>7000</v>
      </c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1" t="s">
        <v>22</v>
      </c>
      <c r="F26" s="10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G27" s="4"/>
      <c r="H27" s="10"/>
      <c r="N27" s="1">
        <f t="shared" si="0"/>
        <v>11393</v>
      </c>
      <c r="O27" s="1">
        <v>11393</v>
      </c>
    </row>
    <row r="28" spans="2:15" x14ac:dyDescent="0.35">
      <c r="D28" s="1" t="s">
        <v>42</v>
      </c>
      <c r="E28" s="1" t="s">
        <v>22</v>
      </c>
      <c r="F28" s="10">
        <f>IF(F18*6%*3&lt;0,0,F18*6%*3)</f>
        <v>0</v>
      </c>
      <c r="G28" s="20"/>
      <c r="H28" s="10"/>
      <c r="N28" s="1">
        <f t="shared" si="0"/>
        <v>10802</v>
      </c>
      <c r="O28" s="1">
        <v>10802</v>
      </c>
    </row>
    <row r="29" spans="2:15" x14ac:dyDescent="0.35">
      <c r="F29" s="1">
        <v>0</v>
      </c>
      <c r="H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7450</v>
      </c>
      <c r="H30" s="12"/>
      <c r="N30" s="1">
        <f t="shared" si="0"/>
        <v>9570</v>
      </c>
      <c r="O30" s="1">
        <v>9570</v>
      </c>
    </row>
    <row r="31" spans="2:15" x14ac:dyDescent="0.35"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F32" s="10">
        <f>meter!T5</f>
        <v>0</v>
      </c>
      <c r="N32" s="1">
        <f t="shared" si="0"/>
        <v>10750</v>
      </c>
      <c r="O32" s="1">
        <v>10750</v>
      </c>
    </row>
    <row r="33" spans="1:18" x14ac:dyDescent="0.35"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F34" s="12">
        <f>F30-F32</f>
        <v>7450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N35" s="1">
        <f t="shared" si="0"/>
        <v>10270</v>
      </c>
      <c r="O35" s="1">
        <v>10270</v>
      </c>
    </row>
    <row r="36" spans="1:18" x14ac:dyDescent="0.35">
      <c r="C36" s="13"/>
      <c r="N36" s="1">
        <f t="shared" si="0"/>
        <v>10598</v>
      </c>
      <c r="O36" s="1">
        <v>10598</v>
      </c>
    </row>
    <row r="37" spans="1:18" ht="21" x14ac:dyDescent="0.5">
      <c r="B37" s="137" t="s">
        <v>216</v>
      </c>
      <c r="C37" s="13"/>
      <c r="N37" s="1">
        <f t="shared" si="0"/>
        <v>8770</v>
      </c>
      <c r="O37" s="1">
        <v>8770</v>
      </c>
    </row>
    <row r="38" spans="1:18" x14ac:dyDescent="0.35">
      <c r="C38" s="13"/>
      <c r="N38" s="1">
        <f t="shared" si="0"/>
        <v>8770</v>
      </c>
      <c r="O38" s="1">
        <v>8770</v>
      </c>
    </row>
    <row r="39" spans="1:18" x14ac:dyDescent="0.35">
      <c r="C39" s="13"/>
      <c r="O39" s="1">
        <f>SUM(O3:O38)</f>
        <v>391268</v>
      </c>
      <c r="Q39" s="1">
        <f>SUM(Q3:Q38)</f>
        <v>0</v>
      </c>
    </row>
    <row r="40" spans="1:18" hidden="1" x14ac:dyDescent="0.35">
      <c r="C40" s="13"/>
    </row>
    <row r="41" spans="1:18" x14ac:dyDescent="0.35">
      <c r="C41" s="13"/>
    </row>
    <row r="42" spans="1:18" x14ac:dyDescent="0.35">
      <c r="A42" s="15"/>
      <c r="C42" s="13"/>
    </row>
    <row r="43" spans="1:18" x14ac:dyDescent="0.35">
      <c r="A43" s="1" t="s">
        <v>70</v>
      </c>
      <c r="B43" s="14" t="s">
        <v>174</v>
      </c>
    </row>
    <row r="44" spans="1:18" x14ac:dyDescent="0.35">
      <c r="B44" s="14"/>
      <c r="G44" s="15"/>
      <c r="H44" s="15"/>
      <c r="I44" s="15"/>
    </row>
    <row r="45" spans="1:18" x14ac:dyDescent="0.35">
      <c r="A45" s="15"/>
      <c r="B45" s="14"/>
    </row>
    <row r="46" spans="1:18" x14ac:dyDescent="0.35">
      <c r="B46" s="14"/>
    </row>
    <row r="47" spans="1:18" x14ac:dyDescent="0.35">
      <c r="B47" s="15"/>
      <c r="C47" s="15"/>
      <c r="D47" s="15"/>
      <c r="E47" s="15"/>
      <c r="F47" s="15"/>
    </row>
    <row r="48" spans="1:18" x14ac:dyDescent="0.35">
      <c r="B48" s="15"/>
    </row>
    <row r="49" spans="1:9" x14ac:dyDescent="0.35">
      <c r="A49" s="13"/>
      <c r="B49" s="14"/>
      <c r="G49" s="13"/>
      <c r="H49" s="13"/>
      <c r="I49" s="13"/>
    </row>
    <row r="50" spans="1:9" x14ac:dyDescent="0.35">
      <c r="A50" s="13"/>
      <c r="B50" s="4"/>
    </row>
    <row r="51" spans="1:9" x14ac:dyDescent="0.35">
      <c r="A51" s="13" t="s">
        <v>29</v>
      </c>
      <c r="B51" s="21" t="s">
        <v>174</v>
      </c>
    </row>
    <row r="52" spans="1:9" x14ac:dyDescent="0.35">
      <c r="A52" s="13" t="s">
        <v>15</v>
      </c>
      <c r="B52" s="21" t="s">
        <v>174</v>
      </c>
      <c r="C52" s="13"/>
      <c r="D52" s="13"/>
      <c r="E52" s="13"/>
      <c r="F52" s="13"/>
    </row>
    <row r="53" spans="1:9" x14ac:dyDescent="0.35">
      <c r="C53" s="13"/>
      <c r="D53" s="13"/>
      <c r="E53" s="13"/>
      <c r="F53" s="13"/>
      <c r="G53" s="13"/>
    </row>
  </sheetData>
  <pageMargins left="0.7" right="0.7" top="0.75" bottom="0.75" header="0.3" footer="0.3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V53"/>
  <sheetViews>
    <sheetView topLeftCell="A7" zoomScale="60" workbookViewId="0">
      <selection activeCell="I46" sqref="I45:I46"/>
    </sheetView>
  </sheetViews>
  <sheetFormatPr defaultColWidth="9" defaultRowHeight="14.5" x14ac:dyDescent="0.35"/>
  <cols>
    <col min="1" max="1" width="9.1796875" style="1" customWidth="1"/>
    <col min="2" max="2" width="30.7265625" style="1" customWidth="1"/>
    <col min="3" max="3" width="30.81640625" style="1" customWidth="1"/>
    <col min="4" max="4" width="9.1796875" style="1" customWidth="1"/>
    <col min="5" max="5" width="25.453125" style="1" customWidth="1"/>
    <col min="6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'1A'!H3+3-1</f>
        <v>40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meter!B6</f>
        <v xml:space="preserve">RAMADHAN 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C8" s="1" t="s">
        <v>26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24</v>
      </c>
      <c r="C15" s="6" t="s">
        <v>4</v>
      </c>
      <c r="E15" s="6" t="s">
        <v>23</v>
      </c>
      <c r="N15" s="1">
        <f t="shared" si="0"/>
        <v>9090</v>
      </c>
      <c r="O15" s="1">
        <v>9090</v>
      </c>
    </row>
    <row r="16" spans="2:15" x14ac:dyDescent="0.35">
      <c r="B16" s="7">
        <f>meter!E6</f>
        <v>14</v>
      </c>
      <c r="C16" s="7">
        <f>meter!F6</f>
        <v>15</v>
      </c>
      <c r="D16" s="7" t="s">
        <v>18</v>
      </c>
      <c r="E16" s="8">
        <f>C16-B16</f>
        <v>1</v>
      </c>
      <c r="N16" s="1">
        <f t="shared" si="0"/>
        <v>9420</v>
      </c>
      <c r="O16" s="1">
        <v>9420</v>
      </c>
    </row>
    <row r="17" spans="2:15" x14ac:dyDescent="0.35">
      <c r="E17" s="1" t="s">
        <v>62</v>
      </c>
      <c r="N17" s="1">
        <f t="shared" si="0"/>
        <v>11154</v>
      </c>
      <c r="O17" s="1">
        <v>11154</v>
      </c>
    </row>
    <row r="18" spans="2:15" x14ac:dyDescent="0.35">
      <c r="C18" s="1" t="s">
        <v>31</v>
      </c>
      <c r="D18" s="1" t="s">
        <v>22</v>
      </c>
      <c r="E18" s="1">
        <f>meter!O6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22</v>
      </c>
      <c r="E20" s="1">
        <f>meter!I6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80</v>
      </c>
      <c r="D22" s="1" t="s">
        <v>22</v>
      </c>
      <c r="E22" s="1">
        <f>meter!J6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25</v>
      </c>
      <c r="D24" s="1" t="s">
        <v>22</v>
      </c>
      <c r="E24" s="10">
        <f>meter!N6</f>
        <v>7000</v>
      </c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C26" s="1" t="s">
        <v>30</v>
      </c>
      <c r="D26" s="1" t="s">
        <v>22</v>
      </c>
      <c r="E26" s="1">
        <v>0</v>
      </c>
      <c r="N26" s="1">
        <f t="shared" si="0"/>
        <v>11550</v>
      </c>
      <c r="O26" s="1">
        <v>11550</v>
      </c>
    </row>
    <row r="27" spans="2:15" x14ac:dyDescent="0.35">
      <c r="C27" s="11" t="s">
        <v>117</v>
      </c>
      <c r="D27" s="11" t="s">
        <v>22</v>
      </c>
      <c r="N27" s="1">
        <f t="shared" si="0"/>
        <v>11393</v>
      </c>
      <c r="O27" s="1">
        <v>11393</v>
      </c>
    </row>
    <row r="28" spans="2:15" x14ac:dyDescent="0.35">
      <c r="C28" s="1" t="s">
        <v>10</v>
      </c>
      <c r="D28" s="22" t="s">
        <v>22</v>
      </c>
      <c r="E28" s="10">
        <f>IF(E18*6%*3&lt;0,0,E18*6%*3)</f>
        <v>0</v>
      </c>
      <c r="N28" s="1">
        <f t="shared" si="0"/>
        <v>10802</v>
      </c>
      <c r="O28" s="1">
        <v>10802</v>
      </c>
    </row>
    <row r="29" spans="2:15" x14ac:dyDescent="0.35">
      <c r="L29" s="1" t="s">
        <v>43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22</v>
      </c>
      <c r="E30" s="10">
        <f>SUM(E17:E29)</f>
        <v>7150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34</v>
      </c>
      <c r="E32" s="10">
        <f>meter!T6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87</v>
      </c>
      <c r="E34" s="12">
        <f>E30-E32</f>
        <v>7150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x14ac:dyDescent="0.35">
      <c r="B36" s="13"/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ht="23.5" x14ac:dyDescent="0.55000000000000004">
      <c r="A38" s="138"/>
      <c r="B38" s="136" t="s">
        <v>217</v>
      </c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  <c r="I42" s="15"/>
    </row>
    <row r="43" spans="1:18" x14ac:dyDescent="0.35">
      <c r="B43" s="4"/>
    </row>
    <row r="44" spans="1:18" x14ac:dyDescent="0.35">
      <c r="B44" s="14"/>
    </row>
    <row r="45" spans="1:18" x14ac:dyDescent="0.35">
      <c r="B45" s="14"/>
      <c r="G45" s="15"/>
      <c r="H45" s="15"/>
      <c r="I45" s="15"/>
    </row>
    <row r="46" spans="1:18" x14ac:dyDescent="0.35">
      <c r="A46" s="15"/>
      <c r="B46" s="14"/>
    </row>
    <row r="47" spans="1:18" x14ac:dyDescent="0.35">
      <c r="B47" s="14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</row>
    <row r="50" spans="1:9" x14ac:dyDescent="0.35">
      <c r="A50" s="13"/>
      <c r="B50" s="14"/>
      <c r="G50" s="13"/>
      <c r="H50" s="13"/>
      <c r="I50" s="13"/>
    </row>
    <row r="51" spans="1:9" x14ac:dyDescent="0.35">
      <c r="A51" s="13"/>
      <c r="B51" s="4"/>
    </row>
    <row r="52" spans="1:9" x14ac:dyDescent="0.35">
      <c r="A52" s="13"/>
      <c r="B52" s="13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V53"/>
  <sheetViews>
    <sheetView topLeftCell="A20" zoomScale="60" workbookViewId="0">
      <selection activeCell="H27" sqref="H27"/>
    </sheetView>
  </sheetViews>
  <sheetFormatPr defaultColWidth="9" defaultRowHeight="14.5" x14ac:dyDescent="0.35"/>
  <cols>
    <col min="1" max="1" width="4.54296875" style="1" customWidth="1"/>
    <col min="2" max="2" width="18" style="1" customWidth="1"/>
    <col min="3" max="3" width="31.1796875" style="1" customWidth="1"/>
    <col min="4" max="4" width="9.1796875" style="1" customWidth="1"/>
    <col min="5" max="5" width="20.7265625" style="1" customWidth="1"/>
    <col min="6" max="7" width="9.1796875" style="1" customWidth="1"/>
    <col min="8" max="8" width="11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'1A'!H3+4-1</f>
        <v>41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meter!B7</f>
        <v xml:space="preserve">NASRA 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C8" s="1" t="s">
        <v>16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meter!E7</f>
        <v>10</v>
      </c>
      <c r="C16" s="7">
        <f>meter!F7</f>
        <v>12</v>
      </c>
      <c r="D16" s="7" t="s">
        <v>18</v>
      </c>
      <c r="E16" s="8">
        <f>C16-B16</f>
        <v>2</v>
      </c>
      <c r="F16" s="7"/>
      <c r="N16" s="1">
        <f t="shared" si="0"/>
        <v>9420</v>
      </c>
      <c r="O16" s="1">
        <v>9420</v>
      </c>
    </row>
    <row r="17" spans="2:15" x14ac:dyDescent="0.35">
      <c r="E17" s="1" t="s">
        <v>63</v>
      </c>
      <c r="N17" s="1">
        <f t="shared" si="0"/>
        <v>11154</v>
      </c>
      <c r="O17" s="1">
        <v>11154</v>
      </c>
    </row>
    <row r="18" spans="2:15" x14ac:dyDescent="0.35">
      <c r="C18" s="1" t="s">
        <v>31</v>
      </c>
      <c r="D18" s="1" t="s">
        <v>22</v>
      </c>
      <c r="E18" s="1">
        <f>meter!O7</f>
        <v>451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22</v>
      </c>
      <c r="E20" s="1">
        <f>meter!I7</f>
        <v>300</v>
      </c>
      <c r="N20" s="1">
        <f t="shared" si="0"/>
        <v>10590</v>
      </c>
      <c r="O20" s="1">
        <v>10590</v>
      </c>
    </row>
    <row r="21" spans="2:15" x14ac:dyDescent="0.35">
      <c r="H21" s="1" t="s">
        <v>43</v>
      </c>
      <c r="N21" s="1">
        <f t="shared" si="0"/>
        <v>22423</v>
      </c>
      <c r="O21" s="1">
        <v>22423</v>
      </c>
    </row>
    <row r="22" spans="2:15" x14ac:dyDescent="0.35">
      <c r="C22" s="1" t="s">
        <v>80</v>
      </c>
      <c r="D22" s="1" t="s">
        <v>22</v>
      </c>
      <c r="E22" s="1">
        <f>meter!J7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25</v>
      </c>
      <c r="D24" s="1" t="s">
        <v>22</v>
      </c>
      <c r="E24" s="10">
        <f>meter!N7</f>
        <v>7000</v>
      </c>
      <c r="N24" s="1">
        <f t="shared" si="0"/>
        <v>10270</v>
      </c>
      <c r="O24" s="1">
        <v>10270</v>
      </c>
    </row>
    <row r="25" spans="2:15" x14ac:dyDescent="0.35">
      <c r="N25" s="1">
        <f t="shared" si="0"/>
        <v>11070</v>
      </c>
      <c r="O25" s="1">
        <v>11070</v>
      </c>
    </row>
    <row r="26" spans="2:15" x14ac:dyDescent="0.35">
      <c r="C26" s="1" t="s">
        <v>30</v>
      </c>
      <c r="D26" s="1" t="s">
        <v>22</v>
      </c>
      <c r="E26" s="1">
        <f>meter!M7</f>
        <v>0</v>
      </c>
      <c r="G26" s="12"/>
      <c r="N26" s="1">
        <f t="shared" si="0"/>
        <v>11550</v>
      </c>
      <c r="O26" s="1">
        <v>11550</v>
      </c>
    </row>
    <row r="27" spans="2:15" x14ac:dyDescent="0.35">
      <c r="C27" s="11" t="s">
        <v>117</v>
      </c>
      <c r="D27" s="11" t="s">
        <v>22</v>
      </c>
      <c r="N27" s="1">
        <f t="shared" si="0"/>
        <v>11393</v>
      </c>
      <c r="O27" s="1">
        <v>11393</v>
      </c>
    </row>
    <row r="28" spans="2:15" x14ac:dyDescent="0.35">
      <c r="C28" s="1" t="s">
        <v>42</v>
      </c>
      <c r="D28" s="1" t="s">
        <v>22</v>
      </c>
      <c r="E28" s="10">
        <f>IF(E18*6%*3&lt;0,0,E18*6%*3)</f>
        <v>81.179999999999993</v>
      </c>
      <c r="N28" s="1">
        <f t="shared" si="0"/>
        <v>10802</v>
      </c>
      <c r="O28" s="1">
        <v>10802</v>
      </c>
    </row>
    <row r="29" spans="2:15" x14ac:dyDescent="0.35">
      <c r="L29" s="1" t="s">
        <v>43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22</v>
      </c>
      <c r="E30" s="10">
        <f>SUM(E17:E29)</f>
        <v>7832.18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34</v>
      </c>
      <c r="E32" s="10">
        <f>meter!T7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87</v>
      </c>
      <c r="E34" s="12">
        <f>E30-E32</f>
        <v>7832.18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x14ac:dyDescent="0.35">
      <c r="B36" s="13"/>
      <c r="N36" s="1">
        <f t="shared" si="0"/>
        <v>10598</v>
      </c>
      <c r="O36" s="1">
        <v>10598</v>
      </c>
    </row>
    <row r="37" spans="1:18" ht="23.5" x14ac:dyDescent="0.55000000000000004">
      <c r="B37" s="13"/>
      <c r="C37" s="139" t="s">
        <v>218</v>
      </c>
      <c r="N37" s="1">
        <f t="shared" si="0"/>
        <v>8770</v>
      </c>
      <c r="O37" s="1">
        <v>8770</v>
      </c>
    </row>
    <row r="38" spans="1:18" x14ac:dyDescent="0.35">
      <c r="B38" s="13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  <c r="I42" s="15"/>
    </row>
    <row r="43" spans="1:18" x14ac:dyDescent="0.35">
      <c r="B43" s="4"/>
    </row>
    <row r="44" spans="1:18" x14ac:dyDescent="0.35">
      <c r="B44" s="14"/>
    </row>
    <row r="45" spans="1:18" x14ac:dyDescent="0.35">
      <c r="B45" s="14"/>
      <c r="G45" s="15"/>
      <c r="H45" s="15"/>
      <c r="I45" s="15"/>
    </row>
    <row r="46" spans="1:18" x14ac:dyDescent="0.35">
      <c r="A46" s="15"/>
      <c r="B46" s="14"/>
    </row>
    <row r="47" spans="1:18" x14ac:dyDescent="0.35">
      <c r="B47" s="14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</row>
    <row r="50" spans="1:9" x14ac:dyDescent="0.35">
      <c r="A50" s="13"/>
      <c r="B50" s="14"/>
      <c r="G50" s="13"/>
      <c r="H50" s="13"/>
      <c r="I50" s="13"/>
    </row>
    <row r="51" spans="1:9" x14ac:dyDescent="0.35">
      <c r="A51" s="13"/>
      <c r="B51" s="4"/>
    </row>
    <row r="52" spans="1:9" x14ac:dyDescent="0.35">
      <c r="A52" s="13"/>
      <c r="B52" s="13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V53"/>
  <sheetViews>
    <sheetView zoomScale="60" workbookViewId="0">
      <selection activeCell="E43" sqref="E42:E43"/>
    </sheetView>
  </sheetViews>
  <sheetFormatPr defaultColWidth="9" defaultRowHeight="14.5" x14ac:dyDescent="0.35"/>
  <cols>
    <col min="1" max="1" width="4.7265625" style="1" customWidth="1"/>
    <col min="2" max="2" width="23.26953125" style="1" customWidth="1"/>
    <col min="3" max="3" width="31.7265625" style="1" customWidth="1"/>
    <col min="4" max="4" width="9.1796875" style="1" customWidth="1"/>
    <col min="5" max="5" width="25.26953125" style="1" customWidth="1"/>
    <col min="6" max="8" width="9.1796875" style="1" customWidth="1"/>
    <col min="9" max="9" width="5.269531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'1A'!H3+5-1</f>
        <v>42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meter!B8</f>
        <v>NADYA JAMAL &amp; AMINA ABDUL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58</v>
      </c>
      <c r="C8" s="1" t="s">
        <v>28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24</v>
      </c>
      <c r="C15" s="6" t="s">
        <v>4</v>
      </c>
      <c r="E15" s="6" t="s">
        <v>23</v>
      </c>
      <c r="N15" s="1">
        <f t="shared" si="0"/>
        <v>9090</v>
      </c>
      <c r="O15" s="1">
        <v>9090</v>
      </c>
    </row>
    <row r="16" spans="2:15" x14ac:dyDescent="0.35">
      <c r="B16" s="7">
        <f>meter!E8</f>
        <v>18</v>
      </c>
      <c r="C16" s="7">
        <f>meter!F8</f>
        <v>21</v>
      </c>
      <c r="D16" s="7" t="s">
        <v>18</v>
      </c>
      <c r="E16" s="8">
        <f>C16-B16</f>
        <v>3</v>
      </c>
      <c r="N16" s="1">
        <f t="shared" si="0"/>
        <v>9420</v>
      </c>
      <c r="O16" s="1">
        <v>9420</v>
      </c>
    </row>
    <row r="17" spans="2:15" x14ac:dyDescent="0.35">
      <c r="E17" s="1" t="s">
        <v>64</v>
      </c>
      <c r="N17" s="1">
        <f t="shared" si="0"/>
        <v>11154</v>
      </c>
      <c r="O17" s="1">
        <v>11154</v>
      </c>
    </row>
    <row r="18" spans="2:15" x14ac:dyDescent="0.35">
      <c r="C18" s="1" t="s">
        <v>31</v>
      </c>
      <c r="D18" s="1" t="s">
        <v>22</v>
      </c>
      <c r="E18" s="1">
        <f>meter!O8</f>
        <v>451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22</v>
      </c>
      <c r="E20" s="1">
        <f>meter!I8</f>
        <v>450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80</v>
      </c>
      <c r="D22" s="1" t="s">
        <v>22</v>
      </c>
      <c r="E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25</v>
      </c>
      <c r="D24" s="1" t="s">
        <v>22</v>
      </c>
      <c r="E24" s="10">
        <f>meter!N8</f>
        <v>7000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C26" s="1" t="str">
        <f>'1A'!C25</f>
        <v>SECURITY</v>
      </c>
      <c r="D26" s="1" t="str">
        <f>'1A'!D25</f>
        <v>Kshs.</v>
      </c>
      <c r="E26" s="1">
        <f>meter!M8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117</v>
      </c>
      <c r="D27" s="11" t="s">
        <v>22</v>
      </c>
      <c r="E27" s="10"/>
      <c r="N27" s="1">
        <f t="shared" si="0"/>
        <v>11393</v>
      </c>
      <c r="O27" s="1">
        <v>11393</v>
      </c>
    </row>
    <row r="28" spans="2:15" x14ac:dyDescent="0.35">
      <c r="C28" s="1" t="s">
        <v>42</v>
      </c>
      <c r="D28" s="1" t="s">
        <v>22</v>
      </c>
      <c r="E28" s="10">
        <f>IF(E18*6%*3&lt;0,0,E18*6%*3)</f>
        <v>81.179999999999993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22</v>
      </c>
      <c r="E30" s="10">
        <f>SUM(E17:E29)</f>
        <v>7982.18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34</v>
      </c>
      <c r="E32" s="10">
        <f>meter!T8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87</v>
      </c>
      <c r="E34" s="12">
        <f>E30-E32</f>
        <v>7982.18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ht="23.5" x14ac:dyDescent="0.55000000000000004">
      <c r="B36" s="13"/>
      <c r="C36" s="139" t="s">
        <v>219</v>
      </c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x14ac:dyDescent="0.35">
      <c r="B38" s="13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  <c r="I42" s="23"/>
    </row>
    <row r="43" spans="1:18" x14ac:dyDescent="0.35">
      <c r="B43" s="4"/>
      <c r="E43" s="140" t="s">
        <v>43</v>
      </c>
    </row>
    <row r="44" spans="1:18" x14ac:dyDescent="0.35">
      <c r="B44" s="14"/>
    </row>
    <row r="45" spans="1:18" x14ac:dyDescent="0.35">
      <c r="B45" s="14"/>
      <c r="G45" s="15"/>
      <c r="H45" s="15"/>
      <c r="I45" s="15"/>
    </row>
    <row r="46" spans="1:18" x14ac:dyDescent="0.35">
      <c r="A46" s="15"/>
      <c r="B46" s="14"/>
    </row>
    <row r="47" spans="1:18" x14ac:dyDescent="0.35">
      <c r="B47" s="14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</row>
    <row r="50" spans="1:9" x14ac:dyDescent="0.35">
      <c r="A50" s="13"/>
      <c r="B50" s="14"/>
      <c r="G50" s="13"/>
      <c r="H50" s="13"/>
      <c r="I50" s="13"/>
    </row>
    <row r="51" spans="1:9" x14ac:dyDescent="0.35">
      <c r="A51" s="13"/>
      <c r="B51" s="4"/>
    </row>
    <row r="52" spans="1:9" x14ac:dyDescent="0.35">
      <c r="A52" s="13"/>
      <c r="B52" s="13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V53"/>
  <sheetViews>
    <sheetView topLeftCell="A27" zoomScale="60" workbookViewId="0">
      <selection activeCell="E45" sqref="E45"/>
    </sheetView>
  </sheetViews>
  <sheetFormatPr defaultColWidth="9" defaultRowHeight="14.5" x14ac:dyDescent="0.35"/>
  <cols>
    <col min="1" max="1" width="4.81640625" style="1" customWidth="1"/>
    <col min="2" max="2" width="21.26953125" style="1" customWidth="1"/>
    <col min="3" max="3" width="30" style="1" customWidth="1"/>
    <col min="4" max="4" width="9.1796875" style="1" customWidth="1"/>
    <col min="5" max="5" width="16.7265625" style="1" customWidth="1"/>
    <col min="6" max="6" width="13.81640625" style="1" customWidth="1"/>
    <col min="7" max="7" width="0.54296875" style="1" customWidth="1"/>
    <col min="8" max="8" width="8.26953125" style="1" customWidth="1"/>
    <col min="9" max="9" width="11.81640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F4" s="1" t="s">
        <v>6</v>
      </c>
      <c r="G4" s="1" t="s">
        <v>6</v>
      </c>
      <c r="H4" s="1">
        <f>'1A'!H3+6-1</f>
        <v>43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24">
        <f>meter!B9</f>
        <v>0</v>
      </c>
      <c r="N6" s="1">
        <f t="shared" si="0"/>
        <v>11070</v>
      </c>
      <c r="O6" s="1">
        <v>11070</v>
      </c>
    </row>
    <row r="7" spans="2:15" x14ac:dyDescent="0.35">
      <c r="C7" s="25"/>
      <c r="N7" s="1">
        <f t="shared" si="0"/>
        <v>1197</v>
      </c>
      <c r="O7" s="1">
        <v>1197</v>
      </c>
    </row>
    <row r="8" spans="2:15" x14ac:dyDescent="0.35">
      <c r="B8" s="1" t="s">
        <v>57</v>
      </c>
      <c r="C8" s="22" t="s">
        <v>120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ht="2.25" customHeight="1" x14ac:dyDescent="0.35">
      <c r="N14" s="1">
        <f t="shared" si="0"/>
        <v>11070</v>
      </c>
      <c r="O14" s="1">
        <v>11070</v>
      </c>
    </row>
    <row r="15" spans="2:15" ht="37.5" customHeight="1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meter!E9</f>
        <v>11</v>
      </c>
      <c r="C16" s="7">
        <f>meter!F9</f>
        <v>11</v>
      </c>
      <c r="D16" s="7" t="s">
        <v>18</v>
      </c>
      <c r="E16" s="8">
        <f>C16-B16</f>
        <v>0</v>
      </c>
      <c r="N16" s="1">
        <f t="shared" si="0"/>
        <v>9420</v>
      </c>
      <c r="O16" s="1">
        <v>9420</v>
      </c>
    </row>
    <row r="17" spans="2:15" x14ac:dyDescent="0.35">
      <c r="E17" s="1" t="s">
        <v>64</v>
      </c>
      <c r="I17" s="10"/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19</v>
      </c>
      <c r="E18" s="10">
        <f>meter!O9</f>
        <v>580</v>
      </c>
      <c r="I18" s="10"/>
      <c r="N18" s="1">
        <f t="shared" si="0"/>
        <v>10430</v>
      </c>
      <c r="O18" s="1">
        <v>10430</v>
      </c>
    </row>
    <row r="19" spans="2:15" ht="15.5" x14ac:dyDescent="0.35">
      <c r="B19" s="9"/>
      <c r="I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17</v>
      </c>
      <c r="E20" s="1">
        <f>meter!I9</f>
        <v>0</v>
      </c>
      <c r="I20" s="10"/>
      <c r="N20" s="1">
        <f t="shared" si="0"/>
        <v>10590</v>
      </c>
      <c r="O20" s="1">
        <v>10590</v>
      </c>
    </row>
    <row r="21" spans="2:15" x14ac:dyDescent="0.35">
      <c r="I21" s="10"/>
      <c r="N21" s="1">
        <f t="shared" si="0"/>
        <v>22423</v>
      </c>
      <c r="O21" s="1">
        <v>22423</v>
      </c>
    </row>
    <row r="22" spans="2:15" x14ac:dyDescent="0.35">
      <c r="C22" s="1" t="s">
        <v>80</v>
      </c>
      <c r="D22" s="1" t="s">
        <v>17</v>
      </c>
      <c r="E22" s="1">
        <f>'1A'!E21</f>
        <v>0</v>
      </c>
      <c r="I22" s="10"/>
      <c r="N22" s="1">
        <f t="shared" si="0"/>
        <v>9250</v>
      </c>
      <c r="O22" s="1">
        <v>9250</v>
      </c>
    </row>
    <row r="23" spans="2:15" x14ac:dyDescent="0.35">
      <c r="I23" s="10"/>
      <c r="N23" s="1">
        <f t="shared" si="0"/>
        <v>10162</v>
      </c>
      <c r="O23" s="1">
        <v>10162</v>
      </c>
    </row>
    <row r="24" spans="2:15" x14ac:dyDescent="0.35">
      <c r="C24" s="1" t="s">
        <v>25</v>
      </c>
      <c r="D24" s="1" t="s">
        <v>17</v>
      </c>
      <c r="E24" s="10">
        <f>meter!N9</f>
        <v>6000</v>
      </c>
      <c r="I24" s="10"/>
      <c r="N24" s="1">
        <f t="shared" si="0"/>
        <v>10270</v>
      </c>
      <c r="O24" s="1">
        <v>10270</v>
      </c>
    </row>
    <row r="25" spans="2:15" x14ac:dyDescent="0.35">
      <c r="E25" s="10"/>
      <c r="I25" s="10"/>
      <c r="N25" s="1">
        <f t="shared" si="0"/>
        <v>11070</v>
      </c>
      <c r="O25" s="1">
        <v>11070</v>
      </c>
    </row>
    <row r="26" spans="2:15" x14ac:dyDescent="0.35">
      <c r="C26" s="1" t="str">
        <f>'1A'!C25</f>
        <v>SECURITY</v>
      </c>
      <c r="D26" s="1" t="str">
        <f>'1A'!D25</f>
        <v>Kshs.</v>
      </c>
      <c r="E26" s="1">
        <f>meter!M9</f>
        <v>0</v>
      </c>
      <c r="I26" s="10"/>
      <c r="N26" s="1">
        <f t="shared" si="0"/>
        <v>11550</v>
      </c>
      <c r="O26" s="1">
        <v>11550</v>
      </c>
    </row>
    <row r="27" spans="2:15" x14ac:dyDescent="0.35">
      <c r="C27" s="11" t="s">
        <v>117</v>
      </c>
      <c r="E27" s="10"/>
      <c r="I27" s="10"/>
      <c r="N27" s="1">
        <f t="shared" si="0"/>
        <v>11393</v>
      </c>
      <c r="O27" s="1">
        <v>11393</v>
      </c>
    </row>
    <row r="28" spans="2:15" x14ac:dyDescent="0.35">
      <c r="C28" s="1" t="s">
        <v>73</v>
      </c>
      <c r="D28" s="1" t="s">
        <v>17</v>
      </c>
      <c r="E28" s="10"/>
      <c r="I28" s="10"/>
      <c r="N28" s="1">
        <f t="shared" si="0"/>
        <v>10802</v>
      </c>
      <c r="O28" s="1">
        <v>10802</v>
      </c>
    </row>
    <row r="29" spans="2:15" x14ac:dyDescent="0.35">
      <c r="E29" s="10"/>
      <c r="I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22</v>
      </c>
      <c r="E30" s="10">
        <f>SUM(E17:E29)</f>
        <v>6580</v>
      </c>
      <c r="G30" s="12"/>
      <c r="I30" s="10"/>
      <c r="J30" s="26"/>
      <c r="N30" s="1">
        <f t="shared" si="0"/>
        <v>9570</v>
      </c>
      <c r="O30" s="1">
        <v>9570</v>
      </c>
    </row>
    <row r="31" spans="2:15" x14ac:dyDescent="0.35">
      <c r="E31" s="10"/>
      <c r="I31" s="10"/>
      <c r="N31" s="1">
        <f t="shared" si="0"/>
        <v>11390</v>
      </c>
      <c r="O31" s="1">
        <v>11390</v>
      </c>
    </row>
    <row r="32" spans="2:15" x14ac:dyDescent="0.35">
      <c r="C32" s="1" t="s">
        <v>34</v>
      </c>
      <c r="E32" s="10">
        <f>meter!T9</f>
        <v>0</v>
      </c>
      <c r="I32" s="10"/>
      <c r="N32" s="1">
        <f t="shared" si="0"/>
        <v>10750</v>
      </c>
      <c r="O32" s="1">
        <v>10750</v>
      </c>
    </row>
    <row r="33" spans="1:18" x14ac:dyDescent="0.35">
      <c r="E33" s="10"/>
      <c r="I33" s="10"/>
      <c r="N33" s="1">
        <f t="shared" si="0"/>
        <v>11732</v>
      </c>
      <c r="O33" s="1">
        <v>11732</v>
      </c>
    </row>
    <row r="34" spans="1:18" x14ac:dyDescent="0.35">
      <c r="C34" s="1" t="s">
        <v>87</v>
      </c>
      <c r="E34" s="12">
        <f>E30-E32</f>
        <v>6580</v>
      </c>
      <c r="I34" s="10"/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C35" s="4" t="s">
        <v>93</v>
      </c>
      <c r="D35" s="135" t="s">
        <v>98</v>
      </c>
      <c r="I35" s="10"/>
      <c r="N35" s="1">
        <f t="shared" si="0"/>
        <v>10270</v>
      </c>
      <c r="O35" s="1">
        <v>10270</v>
      </c>
    </row>
    <row r="36" spans="1:18" x14ac:dyDescent="0.35">
      <c r="B36" s="13"/>
      <c r="I36" s="10"/>
      <c r="N36" s="1">
        <f t="shared" si="0"/>
        <v>10598</v>
      </c>
      <c r="O36" s="1">
        <v>10598</v>
      </c>
    </row>
    <row r="37" spans="1:18" ht="23.5" x14ac:dyDescent="0.55000000000000004">
      <c r="B37" s="13"/>
      <c r="C37" s="139" t="s">
        <v>220</v>
      </c>
      <c r="N37" s="1">
        <f t="shared" si="0"/>
        <v>8770</v>
      </c>
      <c r="O37" s="1">
        <v>8770</v>
      </c>
    </row>
    <row r="38" spans="1:18" x14ac:dyDescent="0.35">
      <c r="B38" s="13"/>
      <c r="I38" s="12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I40" s="12"/>
    </row>
    <row r="41" spans="1:18" x14ac:dyDescent="0.35">
      <c r="B41" s="13"/>
      <c r="I41" s="10"/>
    </row>
    <row r="42" spans="1:18" x14ac:dyDescent="0.35">
      <c r="B42" s="13"/>
      <c r="I42" s="10"/>
    </row>
    <row r="43" spans="1:18" x14ac:dyDescent="0.35">
      <c r="B43" s="4"/>
      <c r="I43" s="10"/>
    </row>
    <row r="44" spans="1:18" x14ac:dyDescent="0.35">
      <c r="B44" s="14"/>
    </row>
    <row r="45" spans="1:18" x14ac:dyDescent="0.35">
      <c r="B45" s="14"/>
      <c r="G45" s="15"/>
      <c r="H45" s="15"/>
      <c r="I45" s="15"/>
    </row>
    <row r="46" spans="1:18" x14ac:dyDescent="0.35">
      <c r="A46" s="15"/>
      <c r="B46" s="14"/>
    </row>
    <row r="47" spans="1:18" x14ac:dyDescent="0.35">
      <c r="B47" s="14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</row>
    <row r="50" spans="1:9" x14ac:dyDescent="0.35">
      <c r="A50" s="13"/>
      <c r="B50" s="14"/>
      <c r="G50" s="13"/>
      <c r="H50" s="13"/>
      <c r="I50" s="13"/>
    </row>
    <row r="51" spans="1:9" x14ac:dyDescent="0.35">
      <c r="A51" s="13"/>
      <c r="B51" s="4"/>
    </row>
    <row r="52" spans="1:9" x14ac:dyDescent="0.35">
      <c r="A52" s="13"/>
      <c r="B52" s="13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V55"/>
  <sheetViews>
    <sheetView topLeftCell="A13" zoomScale="60" workbookViewId="0">
      <selection activeCell="G41" sqref="G39:G41"/>
    </sheetView>
  </sheetViews>
  <sheetFormatPr defaultColWidth="9" defaultRowHeight="14.5" x14ac:dyDescent="0.35"/>
  <cols>
    <col min="1" max="1" width="9.1796875" style="1" customWidth="1"/>
    <col min="2" max="2" width="21.54296875" style="1" customWidth="1"/>
    <col min="3" max="3" width="31" style="1" customWidth="1"/>
    <col min="4" max="4" width="13.81640625" style="1" customWidth="1"/>
    <col min="5" max="5" width="17.7265625" style="1" customWidth="1"/>
    <col min="6" max="6" width="9.54296875" style="1" customWidth="1"/>
    <col min="7" max="8" width="9.1796875" style="1" customWidth="1"/>
    <col min="9" max="9" width="17.5429687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'1A'!H3+7-1</f>
        <v>44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meter!B10</f>
        <v>MOHAMED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C8" s="22" t="s">
        <v>121</v>
      </c>
      <c r="N8" s="1">
        <f t="shared" si="0"/>
        <v>9250</v>
      </c>
      <c r="O8" s="1">
        <v>9250</v>
      </c>
    </row>
    <row r="9" spans="2:15" x14ac:dyDescent="0.35">
      <c r="C9" s="25" t="s">
        <v>76</v>
      </c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meter!E10</f>
        <v>9</v>
      </c>
      <c r="C16" s="7">
        <f>meter!F10</f>
        <v>10</v>
      </c>
      <c r="D16" s="7" t="s">
        <v>18</v>
      </c>
      <c r="E16" s="8">
        <f>C16-B16</f>
        <v>1</v>
      </c>
      <c r="N16" s="1">
        <f t="shared" si="0"/>
        <v>9420</v>
      </c>
      <c r="O16" s="1">
        <v>9420</v>
      </c>
    </row>
    <row r="17" spans="2:15" x14ac:dyDescent="0.35">
      <c r="E17" s="1" t="s">
        <v>63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19</v>
      </c>
      <c r="E18" s="10">
        <f>meter!O10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17</v>
      </c>
      <c r="E20" s="1">
        <f>meter!I10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80</v>
      </c>
      <c r="D22" s="1" t="s">
        <v>17</v>
      </c>
      <c r="E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25</v>
      </c>
      <c r="D24" s="1" t="s">
        <v>17</v>
      </c>
      <c r="E24" s="10">
        <f>meter!N10</f>
        <v>7000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C26" s="1" t="str">
        <f>'1A'!C25</f>
        <v>SECURITY</v>
      </c>
      <c r="D26" s="1" t="str">
        <f>'1A'!D25</f>
        <v>Kshs.</v>
      </c>
      <c r="E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117</v>
      </c>
      <c r="E27" s="10"/>
      <c r="N27" s="1">
        <f t="shared" si="0"/>
        <v>11393</v>
      </c>
      <c r="O27" s="1">
        <v>11393</v>
      </c>
    </row>
    <row r="28" spans="2:15" x14ac:dyDescent="0.35">
      <c r="C28" s="1" t="s">
        <v>48</v>
      </c>
      <c r="D28" s="1" t="s">
        <v>17</v>
      </c>
      <c r="E28" s="10">
        <f>IF(E18*6%*3&lt;0,0,E18*6%*3)</f>
        <v>0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22</v>
      </c>
      <c r="E30" s="10">
        <f>SUM(E17:E29)</f>
        <v>7150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34</v>
      </c>
      <c r="E32" s="10">
        <f>meter!T11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87</v>
      </c>
      <c r="E34" s="12">
        <f>E30-E32</f>
        <v>7150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ht="23.5" x14ac:dyDescent="0.55000000000000004">
      <c r="B36" s="13"/>
      <c r="C36" s="139" t="s">
        <v>221</v>
      </c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x14ac:dyDescent="0.35">
      <c r="B38" s="13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  <c r="I42" s="15"/>
    </row>
    <row r="43" spans="1:18" x14ac:dyDescent="0.35">
      <c r="B43" s="4"/>
    </row>
    <row r="44" spans="1:18" x14ac:dyDescent="0.35">
      <c r="B44" s="14"/>
    </row>
    <row r="45" spans="1:18" x14ac:dyDescent="0.35">
      <c r="B45" s="14"/>
      <c r="G45" s="15"/>
      <c r="H45" s="15"/>
      <c r="I45" s="15"/>
    </row>
    <row r="46" spans="1:18" x14ac:dyDescent="0.35">
      <c r="A46" s="15"/>
      <c r="B46" s="14"/>
    </row>
    <row r="47" spans="1:18" x14ac:dyDescent="0.35">
      <c r="B47" s="14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</row>
    <row r="50" spans="1:9" x14ac:dyDescent="0.35">
      <c r="A50" s="13"/>
      <c r="B50" s="14"/>
      <c r="G50" s="13"/>
      <c r="H50" s="13"/>
      <c r="I50" s="13"/>
    </row>
    <row r="51" spans="1:9" x14ac:dyDescent="0.35">
      <c r="A51" s="13"/>
      <c r="B51" s="4"/>
    </row>
    <row r="52" spans="1:9" x14ac:dyDescent="0.35">
      <c r="A52" s="13"/>
      <c r="B52" s="13"/>
    </row>
    <row r="53" spans="1:9" x14ac:dyDescent="0.35">
      <c r="A53" s="13"/>
      <c r="B53" s="13"/>
      <c r="C53" s="13"/>
      <c r="D53" s="13"/>
      <c r="E53" s="13"/>
      <c r="F53" s="13"/>
    </row>
    <row r="55" spans="1:9" ht="13.5" customHeight="1" x14ac:dyDescent="0.35"/>
  </sheetData>
  <pageMargins left="0.7" right="0.7" top="0.75" bottom="0.75" header="0.3" footer="0.3"/>
  <pageSetup paperSize="9" scale="6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V53"/>
  <sheetViews>
    <sheetView topLeftCell="A19" zoomScale="60" workbookViewId="0">
      <selection activeCell="F43" sqref="F42:F43"/>
    </sheetView>
  </sheetViews>
  <sheetFormatPr defaultColWidth="9" defaultRowHeight="14.5" x14ac:dyDescent="0.35"/>
  <cols>
    <col min="1" max="1" width="5.81640625" style="1" customWidth="1"/>
    <col min="2" max="2" width="22.7265625" style="1" customWidth="1"/>
    <col min="3" max="3" width="31.54296875" style="1" customWidth="1"/>
    <col min="4" max="4" width="9.1796875" style="1" customWidth="1"/>
    <col min="5" max="5" width="15.7265625" style="1" customWidth="1"/>
    <col min="6" max="8" width="9.1796875" style="1" customWidth="1"/>
    <col min="9" max="9" width="20.7265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'1A'!H3+8-1</f>
        <v>45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>
        <f>meter!B11</f>
        <v>0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C8" s="27" t="s">
        <v>122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meter!E11</f>
        <v>13</v>
      </c>
      <c r="C16" s="7">
        <f>meter!F11</f>
        <v>15</v>
      </c>
      <c r="D16" s="7" t="s">
        <v>18</v>
      </c>
      <c r="E16" s="8">
        <f>C16-B16</f>
        <v>2</v>
      </c>
      <c r="N16" s="1">
        <f t="shared" si="0"/>
        <v>9420</v>
      </c>
      <c r="O16" s="1">
        <v>9420</v>
      </c>
    </row>
    <row r="17" spans="2:15" x14ac:dyDescent="0.35">
      <c r="E17" s="1" t="s">
        <v>62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19</v>
      </c>
      <c r="E18" s="10">
        <f>meter!O11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17</v>
      </c>
      <c r="E20" s="1">
        <f>meter!I11</f>
        <v>300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80</v>
      </c>
      <c r="D22" s="1" t="s">
        <v>17</v>
      </c>
      <c r="E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25</v>
      </c>
      <c r="D24" s="1" t="s">
        <v>17</v>
      </c>
      <c r="E24" s="10">
        <f>meter!N11</f>
        <v>7000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C26" s="1" t="str">
        <f>'1A'!C25</f>
        <v>SECURITY</v>
      </c>
      <c r="D26" s="1" t="str">
        <f>'1A'!D25</f>
        <v>Kshs.</v>
      </c>
      <c r="E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117</v>
      </c>
      <c r="D27" s="11" t="s">
        <v>22</v>
      </c>
      <c r="E27" s="10"/>
      <c r="N27" s="1">
        <f t="shared" si="0"/>
        <v>11393</v>
      </c>
      <c r="O27" s="1">
        <v>11393</v>
      </c>
    </row>
    <row r="28" spans="2:15" x14ac:dyDescent="0.35">
      <c r="C28" s="1" t="s">
        <v>48</v>
      </c>
      <c r="D28" s="1" t="s">
        <v>17</v>
      </c>
      <c r="E28" s="10">
        <f>IF(E18*6%*3&lt;0,0,E18*6%*3)</f>
        <v>0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22</v>
      </c>
      <c r="E30" s="10">
        <f>SUM(E17:E29)</f>
        <v>7300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34</v>
      </c>
      <c r="E32" s="10">
        <f>meter!T11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87</v>
      </c>
      <c r="E34" s="12">
        <f>E30-E32</f>
        <v>7300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/>
      <c r="N35" s="1">
        <f t="shared" si="0"/>
        <v>10270</v>
      </c>
      <c r="O35" s="1">
        <v>10270</v>
      </c>
    </row>
    <row r="36" spans="1:18" ht="23.5" x14ac:dyDescent="0.55000000000000004">
      <c r="B36" s="13"/>
      <c r="C36" s="139" t="s">
        <v>222</v>
      </c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x14ac:dyDescent="0.35">
      <c r="B38" s="13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  <c r="I42" s="15"/>
    </row>
    <row r="43" spans="1:18" x14ac:dyDescent="0.35">
      <c r="B43" s="4"/>
    </row>
    <row r="44" spans="1:18" x14ac:dyDescent="0.35">
      <c r="B44" s="14"/>
    </row>
    <row r="45" spans="1:18" x14ac:dyDescent="0.35">
      <c r="B45" s="14"/>
      <c r="G45" s="15"/>
      <c r="H45" s="15"/>
      <c r="I45" s="15"/>
    </row>
    <row r="46" spans="1:18" x14ac:dyDescent="0.35">
      <c r="A46" s="15"/>
      <c r="B46" s="14"/>
    </row>
    <row r="47" spans="1:18" x14ac:dyDescent="0.35">
      <c r="B47" s="14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</row>
    <row r="50" spans="1:9" x14ac:dyDescent="0.35">
      <c r="A50" s="13"/>
      <c r="B50" s="14"/>
      <c r="G50" s="13"/>
      <c r="H50" s="13"/>
      <c r="I50" s="13"/>
    </row>
    <row r="51" spans="1:9" x14ac:dyDescent="0.35">
      <c r="A51" s="13"/>
      <c r="B51" s="4"/>
    </row>
    <row r="52" spans="1:9" x14ac:dyDescent="0.35">
      <c r="A52" s="13"/>
      <c r="B52" s="13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V53"/>
  <sheetViews>
    <sheetView topLeftCell="A22" zoomScale="60" workbookViewId="0">
      <selection activeCell="E51" sqref="E51"/>
    </sheetView>
  </sheetViews>
  <sheetFormatPr defaultColWidth="9" defaultRowHeight="14.5" x14ac:dyDescent="0.35"/>
  <cols>
    <col min="1" max="1" width="9.1796875" style="1" customWidth="1"/>
    <col min="2" max="2" width="23.7265625" style="1" customWidth="1"/>
    <col min="3" max="3" width="24.54296875" style="1" customWidth="1"/>
    <col min="4" max="4" width="5.1796875" style="1" customWidth="1"/>
    <col min="5" max="5" width="12.54296875" style="1" customWidth="1"/>
    <col min="6" max="8" width="9.1796875" style="1" customWidth="1"/>
    <col min="9" max="9" width="12.4531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'1A'!H3+9-1</f>
        <v>46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 t="str">
        <f>meter!B12</f>
        <v>NEW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59</v>
      </c>
      <c r="C8" s="22" t="s">
        <v>123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meter!E12</f>
        <v>10</v>
      </c>
      <c r="C16" s="7">
        <f>meter!F12</f>
        <v>15</v>
      </c>
      <c r="D16" s="7" t="s">
        <v>18</v>
      </c>
      <c r="E16" s="8">
        <f>C16-B16</f>
        <v>5</v>
      </c>
      <c r="N16" s="1">
        <f t="shared" si="0"/>
        <v>9420</v>
      </c>
      <c r="O16" s="1">
        <v>9420</v>
      </c>
    </row>
    <row r="17" spans="2:15" x14ac:dyDescent="0.35">
      <c r="E17" s="1" t="s">
        <v>62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19</v>
      </c>
      <c r="E18" s="10">
        <f>meter!O12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17</v>
      </c>
      <c r="E20" s="1">
        <f>meter!I12</f>
        <v>750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80</v>
      </c>
      <c r="D22" s="1" t="s">
        <v>17</v>
      </c>
      <c r="E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25</v>
      </c>
      <c r="D24" s="1" t="s">
        <v>17</v>
      </c>
      <c r="E24" s="10">
        <f>meter!N12</f>
        <v>7000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C26" s="1" t="str">
        <f>'1A'!C25</f>
        <v>SECURITY</v>
      </c>
      <c r="D26" s="1" t="str">
        <f>'1A'!D25</f>
        <v>Kshs.</v>
      </c>
      <c r="E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117</v>
      </c>
      <c r="D27" s="11" t="s">
        <v>22</v>
      </c>
      <c r="E27" s="10"/>
      <c r="N27" s="1">
        <f t="shared" si="0"/>
        <v>11393</v>
      </c>
      <c r="O27" s="1">
        <v>11393</v>
      </c>
    </row>
    <row r="28" spans="2:15" x14ac:dyDescent="0.35">
      <c r="C28" s="1" t="s">
        <v>74</v>
      </c>
      <c r="D28" s="1" t="s">
        <v>17</v>
      </c>
      <c r="E28" s="10">
        <f>IF(E18*4%*1&lt;0,0,E18*4%*1)</f>
        <v>0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22</v>
      </c>
      <c r="E30" s="10">
        <f>SUM(E17:E29)</f>
        <v>7750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34</v>
      </c>
      <c r="E32" s="10">
        <f>meter!T12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87</v>
      </c>
      <c r="E34" s="12">
        <f>E30-E32</f>
        <v>7750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x14ac:dyDescent="0.35">
      <c r="B36" s="13"/>
      <c r="N36" s="1">
        <f t="shared" si="0"/>
        <v>10598</v>
      </c>
      <c r="O36" s="1">
        <v>10598</v>
      </c>
    </row>
    <row r="37" spans="1:18" ht="21" x14ac:dyDescent="0.5">
      <c r="B37" s="13"/>
      <c r="C37" s="137" t="s">
        <v>223</v>
      </c>
      <c r="N37" s="1">
        <f t="shared" si="0"/>
        <v>8770</v>
      </c>
      <c r="O37" s="1">
        <v>8770</v>
      </c>
    </row>
    <row r="38" spans="1:18" x14ac:dyDescent="0.35">
      <c r="B38" s="13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  <c r="I42" s="15"/>
    </row>
    <row r="43" spans="1:18" x14ac:dyDescent="0.35">
      <c r="B43" s="4"/>
    </row>
    <row r="44" spans="1:18" x14ac:dyDescent="0.35">
      <c r="B44" s="14"/>
    </row>
    <row r="45" spans="1:18" x14ac:dyDescent="0.35">
      <c r="B45" s="14"/>
      <c r="G45" s="15"/>
      <c r="H45" s="15"/>
      <c r="I45" s="15"/>
    </row>
    <row r="46" spans="1:18" x14ac:dyDescent="0.35">
      <c r="A46" s="15"/>
      <c r="B46" s="14"/>
    </row>
    <row r="47" spans="1:18" x14ac:dyDescent="0.35">
      <c r="B47" s="14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</row>
    <row r="50" spans="1:9" x14ac:dyDescent="0.35">
      <c r="A50" s="13"/>
      <c r="B50" s="14"/>
      <c r="G50" s="13"/>
      <c r="H50" s="13"/>
      <c r="I50" s="13"/>
    </row>
    <row r="51" spans="1:9" x14ac:dyDescent="0.35">
      <c r="A51" s="13"/>
      <c r="B51" s="4"/>
    </row>
    <row r="52" spans="1:9" x14ac:dyDescent="0.35">
      <c r="A52" s="13"/>
      <c r="B52" s="13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6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V53"/>
  <sheetViews>
    <sheetView topLeftCell="A18" zoomScale="60" workbookViewId="0">
      <selection activeCell="E45" sqref="E44:E45"/>
    </sheetView>
  </sheetViews>
  <sheetFormatPr defaultColWidth="9" defaultRowHeight="14.5" x14ac:dyDescent="0.35"/>
  <cols>
    <col min="1" max="1" width="9.1796875" style="1" customWidth="1"/>
    <col min="2" max="2" width="26" style="1" customWidth="1"/>
    <col min="3" max="3" width="26.26953125" style="1" customWidth="1"/>
    <col min="4" max="4" width="9.1796875" style="1" hidden="1" customWidth="1"/>
    <col min="5" max="5" width="17.7265625" style="1" customWidth="1"/>
    <col min="6" max="7" width="9.1796875" style="1" customWidth="1"/>
    <col min="8" max="8" width="11.81640625" style="1" customWidth="1"/>
    <col min="9" max="9" width="14.7265625" style="1" customWidth="1"/>
    <col min="10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'1A'!H3+10-1</f>
        <v>47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>
        <f>meter!B13</f>
        <v>0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C8" s="22" t="s">
        <v>124</v>
      </c>
      <c r="N8" s="1">
        <f t="shared" si="0"/>
        <v>9250</v>
      </c>
      <c r="O8" s="1">
        <v>9250</v>
      </c>
    </row>
    <row r="9" spans="2:15" x14ac:dyDescent="0.35">
      <c r="C9" s="25"/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meter!E13</f>
        <v>16</v>
      </c>
      <c r="C16" s="7">
        <f>meter!F13</f>
        <v>17</v>
      </c>
      <c r="D16" s="7" t="s">
        <v>18</v>
      </c>
      <c r="E16" s="8">
        <f>C16-B16</f>
        <v>1</v>
      </c>
      <c r="N16" s="1">
        <f t="shared" si="0"/>
        <v>9420</v>
      </c>
      <c r="O16" s="1">
        <v>9420</v>
      </c>
    </row>
    <row r="17" spans="2:15" x14ac:dyDescent="0.35">
      <c r="E17" s="1" t="s">
        <v>63</v>
      </c>
      <c r="G17" s="10"/>
      <c r="H17" s="10"/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19</v>
      </c>
      <c r="E18" s="1">
        <f>meter!O13</f>
        <v>0</v>
      </c>
      <c r="G18" s="10"/>
      <c r="H18" s="10"/>
      <c r="N18" s="1">
        <f t="shared" si="0"/>
        <v>10430</v>
      </c>
      <c r="O18" s="1">
        <v>10430</v>
      </c>
    </row>
    <row r="19" spans="2:15" ht="15.5" x14ac:dyDescent="0.35">
      <c r="B19" s="9"/>
      <c r="E19" s="10"/>
      <c r="G19" s="10"/>
      <c r="H19" s="10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17</v>
      </c>
      <c r="E20" s="1">
        <f>meter!I13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80</v>
      </c>
      <c r="D22" s="1" t="s">
        <v>17</v>
      </c>
      <c r="E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25</v>
      </c>
      <c r="D24" s="1" t="s">
        <v>17</v>
      </c>
      <c r="E24" s="10">
        <f>meter!N13</f>
        <v>7000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C26" s="1" t="str">
        <f>'1A'!C25</f>
        <v>SECURITY</v>
      </c>
      <c r="D26" s="1" t="s">
        <v>17</v>
      </c>
      <c r="E26" s="10">
        <f>meter!M13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117</v>
      </c>
      <c r="D27" s="11" t="s">
        <v>17</v>
      </c>
      <c r="E27" s="10"/>
      <c r="N27" s="1">
        <f t="shared" si="0"/>
        <v>11393</v>
      </c>
      <c r="O27" s="1">
        <v>11393</v>
      </c>
    </row>
    <row r="28" spans="2:15" x14ac:dyDescent="0.35">
      <c r="C28" s="1" t="s">
        <v>60</v>
      </c>
      <c r="D28" s="1" t="s">
        <v>17</v>
      </c>
      <c r="E28" s="10">
        <f>IF(E18*4%*1&lt;0,0,E18*4%*1)</f>
        <v>0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22</v>
      </c>
      <c r="E30" s="10">
        <f>SUM(E17:E29)</f>
        <v>7150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34</v>
      </c>
      <c r="E32" s="10">
        <f>meter!T13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87</v>
      </c>
      <c r="E34" s="12">
        <f>E30-E32</f>
        <v>7150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ht="23.5" x14ac:dyDescent="0.55000000000000004">
      <c r="B36" s="13"/>
      <c r="C36" s="139" t="s">
        <v>224</v>
      </c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x14ac:dyDescent="0.35">
      <c r="B38" s="13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  <c r="I42" s="15"/>
    </row>
    <row r="43" spans="1:18" x14ac:dyDescent="0.35">
      <c r="B43" s="4"/>
    </row>
    <row r="44" spans="1:18" x14ac:dyDescent="0.35">
      <c r="B44" s="14"/>
    </row>
    <row r="45" spans="1:18" x14ac:dyDescent="0.35">
      <c r="B45" s="14"/>
      <c r="G45" s="15"/>
      <c r="H45" s="15"/>
      <c r="I45" s="15"/>
    </row>
    <row r="46" spans="1:18" x14ac:dyDescent="0.35">
      <c r="A46" s="15"/>
      <c r="B46" s="14"/>
    </row>
    <row r="47" spans="1:18" x14ac:dyDescent="0.35">
      <c r="B47" s="14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</row>
    <row r="50" spans="1:9" x14ac:dyDescent="0.35">
      <c r="A50" s="13"/>
      <c r="B50" s="14"/>
      <c r="G50" s="13"/>
      <c r="H50" s="13"/>
      <c r="I50" s="13"/>
    </row>
    <row r="51" spans="1:9" x14ac:dyDescent="0.35">
      <c r="A51" s="13"/>
      <c r="B51" s="4"/>
    </row>
    <row r="52" spans="1:9" x14ac:dyDescent="0.35">
      <c r="A52" s="13"/>
      <c r="B52" s="13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6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V53"/>
  <sheetViews>
    <sheetView topLeftCell="A22" zoomScale="60" workbookViewId="0">
      <selection activeCell="H53" sqref="H52:H53"/>
    </sheetView>
  </sheetViews>
  <sheetFormatPr defaultColWidth="9" defaultRowHeight="14.5" x14ac:dyDescent="0.35"/>
  <cols>
    <col min="1" max="1" width="9.1796875" style="1" customWidth="1"/>
    <col min="2" max="2" width="23.81640625" style="1" customWidth="1"/>
    <col min="3" max="3" width="26.26953125" style="1" customWidth="1"/>
    <col min="4" max="4" width="10.26953125" style="1" customWidth="1"/>
    <col min="5" max="5" width="15.453125" style="1" customWidth="1"/>
    <col min="6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'1A'!H3+11-1</f>
        <v>48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C6" s="4">
        <f>meter!B14</f>
        <v>0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C8" s="22" t="s">
        <v>125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C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C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C15" s="6" t="s">
        <v>4</v>
      </c>
      <c r="E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meter!E14</f>
        <v>1</v>
      </c>
      <c r="C16" s="7">
        <f>meter!F14</f>
        <v>1</v>
      </c>
      <c r="D16" s="7" t="s">
        <v>18</v>
      </c>
      <c r="E16" s="8">
        <f>C16-B16</f>
        <v>0</v>
      </c>
      <c r="N16" s="1">
        <f t="shared" si="0"/>
        <v>9420</v>
      </c>
      <c r="O16" s="1">
        <v>9420</v>
      </c>
    </row>
    <row r="17" spans="2:15" x14ac:dyDescent="0.35">
      <c r="E17" s="1" t="s">
        <v>62</v>
      </c>
      <c r="N17" s="1">
        <f t="shared" si="0"/>
        <v>11154</v>
      </c>
      <c r="O17" s="1">
        <v>11154</v>
      </c>
    </row>
    <row r="18" spans="2:15" x14ac:dyDescent="0.35">
      <c r="C18" s="1" t="s">
        <v>8</v>
      </c>
      <c r="D18" s="1" t="s">
        <v>19</v>
      </c>
      <c r="E18" s="1">
        <f>meter!O14</f>
        <v>451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C20" s="1" t="s">
        <v>9</v>
      </c>
      <c r="D20" s="1" t="s">
        <v>17</v>
      </c>
      <c r="E20" s="10">
        <f>meter!I14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C22" s="1" t="s">
        <v>80</v>
      </c>
      <c r="D22" s="1" t="s">
        <v>17</v>
      </c>
      <c r="E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C24" s="1" t="s">
        <v>25</v>
      </c>
      <c r="D24" s="1" t="s">
        <v>17</v>
      </c>
      <c r="E24" s="10">
        <f>meter!N14</f>
        <v>7000</v>
      </c>
      <c r="N24" s="1">
        <f t="shared" si="0"/>
        <v>10270</v>
      </c>
      <c r="O24" s="1">
        <v>10270</v>
      </c>
    </row>
    <row r="25" spans="2:15" x14ac:dyDescent="0.35">
      <c r="E25" s="10"/>
      <c r="N25" s="1">
        <f t="shared" si="0"/>
        <v>11070</v>
      </c>
      <c r="O25" s="1">
        <v>11070</v>
      </c>
    </row>
    <row r="26" spans="2:15" x14ac:dyDescent="0.35">
      <c r="C26" s="1" t="str">
        <f>'1A'!C25</f>
        <v>SECURITY</v>
      </c>
      <c r="D26" s="1" t="s">
        <v>17</v>
      </c>
      <c r="E26" s="10">
        <f>'1A'!E25</f>
        <v>0</v>
      </c>
      <c r="N26" s="1">
        <f t="shared" si="0"/>
        <v>11550</v>
      </c>
      <c r="O26" s="1">
        <v>11550</v>
      </c>
    </row>
    <row r="27" spans="2:15" x14ac:dyDescent="0.35">
      <c r="C27" s="11" t="s">
        <v>117</v>
      </c>
      <c r="D27" s="11" t="s">
        <v>17</v>
      </c>
      <c r="E27" s="10"/>
      <c r="N27" s="1">
        <f t="shared" si="0"/>
        <v>11393</v>
      </c>
      <c r="O27" s="1">
        <v>11393</v>
      </c>
    </row>
    <row r="28" spans="2:15" x14ac:dyDescent="0.35">
      <c r="C28" s="1" t="s">
        <v>60</v>
      </c>
      <c r="D28" s="1" t="s">
        <v>17</v>
      </c>
      <c r="E28" s="10">
        <f>IF(E18*4%*1&lt;0,0,E18*4%*1)</f>
        <v>18.04</v>
      </c>
      <c r="N28" s="1">
        <f t="shared" si="0"/>
        <v>10802</v>
      </c>
      <c r="O28" s="1">
        <v>10802</v>
      </c>
    </row>
    <row r="29" spans="2:15" x14ac:dyDescent="0.35">
      <c r="E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22</v>
      </c>
      <c r="E30" s="10">
        <f>SUM(E17:E29)</f>
        <v>7469.04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34</v>
      </c>
      <c r="E32" s="10">
        <f>meter!T14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87</v>
      </c>
      <c r="E34" s="12">
        <f>E30-E32</f>
        <v>7469.04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/>
      <c r="N35" s="1">
        <f t="shared" si="0"/>
        <v>10270</v>
      </c>
      <c r="O35" s="1">
        <v>10270</v>
      </c>
    </row>
    <row r="36" spans="1:18" ht="23.5" x14ac:dyDescent="0.55000000000000004">
      <c r="B36" s="13"/>
      <c r="C36" s="139" t="s">
        <v>225</v>
      </c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x14ac:dyDescent="0.35">
      <c r="B38" s="13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  <c r="I42" s="15"/>
    </row>
    <row r="43" spans="1:18" x14ac:dyDescent="0.35">
      <c r="B43" s="4"/>
    </row>
    <row r="44" spans="1:18" x14ac:dyDescent="0.35">
      <c r="B44" s="14"/>
    </row>
    <row r="45" spans="1:18" x14ac:dyDescent="0.35">
      <c r="B45" s="14"/>
      <c r="G45" s="15"/>
      <c r="H45" s="15"/>
      <c r="I45" s="15"/>
    </row>
    <row r="46" spans="1:18" x14ac:dyDescent="0.35">
      <c r="A46" s="15"/>
      <c r="B46" s="14"/>
    </row>
    <row r="47" spans="1:18" x14ac:dyDescent="0.35">
      <c r="B47" s="14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</row>
    <row r="50" spans="1:9" x14ac:dyDescent="0.35">
      <c r="A50" s="13"/>
      <c r="B50" s="14"/>
      <c r="G50" s="13"/>
      <c r="H50" s="13"/>
      <c r="I50" s="13"/>
    </row>
    <row r="51" spans="1:9" x14ac:dyDescent="0.35">
      <c r="A51" s="13"/>
      <c r="B51" s="4"/>
    </row>
    <row r="52" spans="1:9" x14ac:dyDescent="0.35">
      <c r="A52" s="13"/>
      <c r="B52" s="13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V53"/>
  <sheetViews>
    <sheetView topLeftCell="A14" zoomScale="60" workbookViewId="0">
      <selection activeCell="J38" sqref="J37:J38"/>
    </sheetView>
  </sheetViews>
  <sheetFormatPr defaultColWidth="9" defaultRowHeight="14.5" x14ac:dyDescent="0.35"/>
  <cols>
    <col min="1" max="1" width="9.1796875" style="1" customWidth="1"/>
    <col min="2" max="2" width="25.453125" style="1" customWidth="1"/>
    <col min="3" max="3" width="0.1796875" style="1" customWidth="1"/>
    <col min="4" max="4" width="26" style="1" customWidth="1"/>
    <col min="5" max="5" width="9.1796875" style="1" customWidth="1"/>
    <col min="6" max="6" width="13.54296875" style="1" customWidth="1"/>
    <col min="7" max="9" width="9.1796875" style="1" customWidth="1"/>
    <col min="10" max="10" width="12.54296875" style="1" customWidth="1"/>
    <col min="11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'1A'!H3+12-1</f>
        <v>49</v>
      </c>
      <c r="J4" s="1">
        <f>'1A'!H3+12-1</f>
        <v>49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meter!B15</f>
        <v>MUNIRA</v>
      </c>
      <c r="N6" s="1">
        <f t="shared" si="0"/>
        <v>11070</v>
      </c>
      <c r="O6" s="1">
        <v>11070</v>
      </c>
    </row>
    <row r="7" spans="2:15" x14ac:dyDescent="0.35">
      <c r="D7" s="4"/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22" t="s">
        <v>20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meter!E15</f>
        <v>23</v>
      </c>
      <c r="C16" s="7"/>
      <c r="D16" s="7">
        <f>meter!F15</f>
        <v>27</v>
      </c>
      <c r="E16" s="7" t="s">
        <v>18</v>
      </c>
      <c r="F16" s="8">
        <f>D16-B16</f>
        <v>4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8</v>
      </c>
      <c r="E18" s="1" t="s">
        <v>19</v>
      </c>
      <c r="F18" s="1">
        <f>meter!O15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1" t="s">
        <v>17</v>
      </c>
      <c r="F20" s="1">
        <f>meter!I15</f>
        <v>600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1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1" t="s">
        <v>17</v>
      </c>
      <c r="F24" s="10">
        <f>meter!N15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">
        <v>30</v>
      </c>
      <c r="E26" s="1" t="s">
        <v>17</v>
      </c>
      <c r="F26" s="10">
        <f>meter!M15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F27" s="10"/>
      <c r="N27" s="1">
        <f t="shared" si="0"/>
        <v>11393</v>
      </c>
      <c r="O27" s="1">
        <v>11393</v>
      </c>
    </row>
    <row r="28" spans="2:15" x14ac:dyDescent="0.35">
      <c r="D28" s="1" t="s">
        <v>60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11</v>
      </c>
      <c r="E30" s="1" t="s">
        <v>22</v>
      </c>
      <c r="F30" s="10">
        <f>SUM(F17:F29)</f>
        <v>8600</v>
      </c>
      <c r="G30" s="12"/>
      <c r="N30" s="1">
        <f t="shared" si="0"/>
        <v>9570</v>
      </c>
      <c r="O30" s="1">
        <v>9570</v>
      </c>
    </row>
    <row r="31" spans="2:15" x14ac:dyDescent="0.35">
      <c r="F31" s="10"/>
      <c r="N31" s="1">
        <f t="shared" si="0"/>
        <v>11390</v>
      </c>
      <c r="O31" s="1">
        <v>11390</v>
      </c>
    </row>
    <row r="32" spans="2:15" x14ac:dyDescent="0.35">
      <c r="C32" s="1" t="s">
        <v>34</v>
      </c>
      <c r="D32" s="1" t="s">
        <v>34</v>
      </c>
      <c r="F32" s="10">
        <f>meter!T15</f>
        <v>0</v>
      </c>
      <c r="N32" s="1">
        <f t="shared" si="0"/>
        <v>10750</v>
      </c>
      <c r="O32" s="1">
        <v>10750</v>
      </c>
    </row>
    <row r="33" spans="1:18" x14ac:dyDescent="0.35">
      <c r="F33" s="10"/>
      <c r="N33" s="1">
        <f t="shared" si="0"/>
        <v>11732</v>
      </c>
      <c r="O33" s="1">
        <v>11732</v>
      </c>
    </row>
    <row r="34" spans="1:18" x14ac:dyDescent="0.35">
      <c r="C34" s="1" t="s">
        <v>86</v>
      </c>
      <c r="D34" s="1" t="s">
        <v>87</v>
      </c>
      <c r="F34" s="12">
        <f>F30-F32</f>
        <v>8600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N35" s="1">
        <f t="shared" si="0"/>
        <v>10270</v>
      </c>
      <c r="O35" s="1">
        <v>10270</v>
      </c>
    </row>
    <row r="36" spans="1:18" ht="23.5" x14ac:dyDescent="0.55000000000000004">
      <c r="B36" s="13"/>
      <c r="D36" s="139" t="s">
        <v>226</v>
      </c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x14ac:dyDescent="0.35">
      <c r="B38" s="13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  <c r="I42" s="15"/>
      <c r="J42" s="15"/>
    </row>
    <row r="43" spans="1:18" x14ac:dyDescent="0.35">
      <c r="B43" s="4"/>
    </row>
    <row r="44" spans="1:18" x14ac:dyDescent="0.35">
      <c r="B44" s="14"/>
    </row>
    <row r="45" spans="1:18" x14ac:dyDescent="0.35">
      <c r="B45" s="14"/>
      <c r="G45" s="15"/>
      <c r="H45" s="15"/>
      <c r="I45" s="15"/>
    </row>
    <row r="46" spans="1:18" x14ac:dyDescent="0.35">
      <c r="A46" s="15"/>
      <c r="B46" s="14"/>
    </row>
    <row r="47" spans="1:18" x14ac:dyDescent="0.35">
      <c r="B47" s="14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</row>
    <row r="50" spans="1:9" x14ac:dyDescent="0.35">
      <c r="A50" s="13"/>
      <c r="B50" s="14"/>
      <c r="G50" s="13"/>
      <c r="H50" s="13"/>
      <c r="I50" s="13"/>
    </row>
    <row r="51" spans="1:9" x14ac:dyDescent="0.35">
      <c r="A51" s="13"/>
      <c r="B51" s="4"/>
    </row>
    <row r="52" spans="1:9" x14ac:dyDescent="0.35">
      <c r="A52" s="13"/>
      <c r="B52" s="13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6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V53"/>
  <sheetViews>
    <sheetView topLeftCell="A18" zoomScale="60" workbookViewId="0">
      <selection activeCell="G43" sqref="G43"/>
    </sheetView>
  </sheetViews>
  <sheetFormatPr defaultColWidth="9" defaultRowHeight="15.5" x14ac:dyDescent="0.35"/>
  <cols>
    <col min="1" max="1" width="4.453125" style="122" customWidth="1"/>
    <col min="2" max="2" width="24.54296875" style="122" customWidth="1"/>
    <col min="3" max="3" width="2.81640625" style="122" customWidth="1"/>
    <col min="4" max="4" width="35.54296875" style="122" customWidth="1"/>
    <col min="5" max="5" width="14.54296875" style="122" customWidth="1"/>
    <col min="6" max="6" width="18.453125" style="122" customWidth="1"/>
    <col min="7" max="7" width="13.26953125" style="122" customWidth="1"/>
    <col min="8" max="13" width="9.1796875" style="122" customWidth="1"/>
    <col min="14" max="14" width="9.81640625" style="122" customWidth="1"/>
    <col min="15" max="15" width="13.54296875" style="122" customWidth="1"/>
    <col min="16" max="17" width="9.1796875" style="122" customWidth="1"/>
    <col min="18" max="18" width="0" style="122" hidden="1"/>
    <col min="19" max="256" width="9.1796875" style="122" customWidth="1"/>
    <col min="257" max="16384" width="9" style="124"/>
  </cols>
  <sheetData>
    <row r="2" spans="2:15" x14ac:dyDescent="0.35">
      <c r="B2" s="123" t="s">
        <v>164</v>
      </c>
      <c r="N2" s="122" t="s">
        <v>115</v>
      </c>
      <c r="O2" s="122" t="s">
        <v>114</v>
      </c>
    </row>
    <row r="3" spans="2:15" x14ac:dyDescent="0.35">
      <c r="B3" s="123" t="str">
        <f>'1A'!B2</f>
        <v>P.O BOX 9473-00200 NAIROBI</v>
      </c>
      <c r="N3" s="122">
        <f>O3-Q3</f>
        <v>10270</v>
      </c>
      <c r="O3" s="122">
        <v>10270</v>
      </c>
    </row>
    <row r="4" spans="2:15" x14ac:dyDescent="0.35">
      <c r="B4" s="123" t="s">
        <v>0</v>
      </c>
      <c r="G4" s="122" t="s">
        <v>6</v>
      </c>
      <c r="H4" s="122">
        <f>'1A'!H3+13-1</f>
        <v>50</v>
      </c>
      <c r="N4" s="122">
        <f t="shared" ref="N4:N38" si="0">O4-Q4</f>
        <v>10304</v>
      </c>
      <c r="O4" s="122">
        <v>10304</v>
      </c>
    </row>
    <row r="5" spans="2:15" x14ac:dyDescent="0.35">
      <c r="N5" s="122">
        <f t="shared" si="0"/>
        <v>10988</v>
      </c>
      <c r="O5" s="122">
        <v>10988</v>
      </c>
    </row>
    <row r="6" spans="2:15" x14ac:dyDescent="0.35">
      <c r="B6" s="122" t="s">
        <v>7</v>
      </c>
      <c r="D6" s="123" t="str">
        <f>meter!B16</f>
        <v>RIDHWAN</v>
      </c>
      <c r="N6" s="122">
        <f t="shared" si="0"/>
        <v>11070</v>
      </c>
      <c r="O6" s="122">
        <v>11070</v>
      </c>
    </row>
    <row r="7" spans="2:15" x14ac:dyDescent="0.35">
      <c r="N7" s="122">
        <f t="shared" si="0"/>
        <v>1197</v>
      </c>
      <c r="O7" s="122">
        <v>1197</v>
      </c>
    </row>
    <row r="8" spans="2:15" x14ac:dyDescent="0.35">
      <c r="B8" s="122" t="s">
        <v>57</v>
      </c>
      <c r="D8" s="122" t="s">
        <v>126</v>
      </c>
      <c r="N8" s="122">
        <f t="shared" si="0"/>
        <v>9250</v>
      </c>
      <c r="O8" s="122">
        <v>9250</v>
      </c>
    </row>
    <row r="9" spans="2:15" x14ac:dyDescent="0.35">
      <c r="N9" s="122">
        <f t="shared" si="0"/>
        <v>8770</v>
      </c>
      <c r="O9" s="122">
        <v>8770</v>
      </c>
    </row>
    <row r="10" spans="2:15" x14ac:dyDescent="0.35">
      <c r="B10" s="122" t="s">
        <v>1</v>
      </c>
      <c r="D10" s="125" t="str">
        <f>'1A'!C9</f>
        <v>30TH JAN 2026</v>
      </c>
      <c r="N10" s="122">
        <f t="shared" si="0"/>
        <v>23190</v>
      </c>
      <c r="O10" s="122">
        <v>23190</v>
      </c>
    </row>
    <row r="11" spans="2:15" x14ac:dyDescent="0.35">
      <c r="N11" s="122">
        <f t="shared" si="0"/>
        <v>10910</v>
      </c>
      <c r="O11" s="122">
        <v>10910</v>
      </c>
    </row>
    <row r="12" spans="2:15" x14ac:dyDescent="0.35">
      <c r="B12" s="122" t="s">
        <v>2</v>
      </c>
      <c r="D12" s="125" t="str">
        <f>'1A'!C11</f>
        <v>5TH FEB 2026</v>
      </c>
      <c r="N12" s="122">
        <f t="shared" si="0"/>
        <v>10910</v>
      </c>
      <c r="O12" s="122">
        <v>10910</v>
      </c>
    </row>
    <row r="13" spans="2:15" x14ac:dyDescent="0.35">
      <c r="N13" s="122">
        <f t="shared" si="0"/>
        <v>12190</v>
      </c>
      <c r="O13" s="122">
        <v>12190</v>
      </c>
    </row>
    <row r="14" spans="2:15" x14ac:dyDescent="0.35">
      <c r="N14" s="122">
        <f t="shared" si="0"/>
        <v>11070</v>
      </c>
      <c r="O14" s="122">
        <v>11070</v>
      </c>
    </row>
    <row r="15" spans="2:15" x14ac:dyDescent="0.35">
      <c r="B15" s="126" t="s">
        <v>3</v>
      </c>
      <c r="D15" s="126" t="s">
        <v>4</v>
      </c>
      <c r="F15" s="122" t="s">
        <v>5</v>
      </c>
      <c r="N15" s="122">
        <f t="shared" si="0"/>
        <v>9090</v>
      </c>
      <c r="O15" s="122">
        <v>9090</v>
      </c>
    </row>
    <row r="16" spans="2:15" x14ac:dyDescent="0.35">
      <c r="B16" s="127">
        <f>meter!E16</f>
        <v>13</v>
      </c>
      <c r="C16" s="127"/>
      <c r="D16" s="127">
        <f>meter!F16</f>
        <v>13</v>
      </c>
      <c r="E16" s="127" t="s">
        <v>18</v>
      </c>
      <c r="F16" s="128">
        <f>D16-B16</f>
        <v>0</v>
      </c>
      <c r="G16" s="129"/>
      <c r="N16" s="122">
        <f t="shared" si="0"/>
        <v>9420</v>
      </c>
      <c r="O16" s="122">
        <v>9420</v>
      </c>
    </row>
    <row r="17" spans="2:15" x14ac:dyDescent="0.35">
      <c r="F17" s="122" t="s">
        <v>62</v>
      </c>
      <c r="G17" s="129"/>
      <c r="N17" s="122">
        <f t="shared" si="0"/>
        <v>11154</v>
      </c>
      <c r="O17" s="122">
        <v>11154</v>
      </c>
    </row>
    <row r="18" spans="2:15" x14ac:dyDescent="0.35">
      <c r="D18" s="122" t="s">
        <v>31</v>
      </c>
      <c r="E18" s="122" t="s">
        <v>19</v>
      </c>
      <c r="F18" s="130">
        <f>meter!O16</f>
        <v>0</v>
      </c>
      <c r="G18" s="131"/>
      <c r="N18" s="122">
        <f t="shared" si="0"/>
        <v>10430</v>
      </c>
      <c r="O18" s="122">
        <v>10430</v>
      </c>
    </row>
    <row r="19" spans="2:15" x14ac:dyDescent="0.35">
      <c r="B19" s="123"/>
      <c r="G19" s="129"/>
      <c r="N19" s="122">
        <f t="shared" si="0"/>
        <v>11831</v>
      </c>
      <c r="O19" s="122">
        <v>11831</v>
      </c>
    </row>
    <row r="20" spans="2:15" x14ac:dyDescent="0.35">
      <c r="D20" s="122" t="s">
        <v>9</v>
      </c>
      <c r="E20" s="122" t="s">
        <v>17</v>
      </c>
      <c r="F20" s="122">
        <f>meter!I16</f>
        <v>0</v>
      </c>
      <c r="G20" s="130"/>
      <c r="N20" s="122">
        <f t="shared" si="0"/>
        <v>10590</v>
      </c>
      <c r="O20" s="122">
        <v>10590</v>
      </c>
    </row>
    <row r="21" spans="2:15" x14ac:dyDescent="0.35">
      <c r="G21" s="130"/>
      <c r="N21" s="122">
        <f t="shared" si="0"/>
        <v>22423</v>
      </c>
      <c r="O21" s="122">
        <v>22423</v>
      </c>
    </row>
    <row r="22" spans="2:15" x14ac:dyDescent="0.35">
      <c r="D22" s="122" t="s">
        <v>80</v>
      </c>
      <c r="E22" s="122" t="s">
        <v>17</v>
      </c>
      <c r="F22" s="122">
        <f>'1A'!E21</f>
        <v>0</v>
      </c>
      <c r="N22" s="122">
        <f t="shared" si="0"/>
        <v>9250</v>
      </c>
      <c r="O22" s="122">
        <v>9250</v>
      </c>
    </row>
    <row r="23" spans="2:15" x14ac:dyDescent="0.35">
      <c r="G23" s="130"/>
      <c r="N23" s="122">
        <f t="shared" si="0"/>
        <v>10162</v>
      </c>
      <c r="O23" s="122">
        <v>10162</v>
      </c>
    </row>
    <row r="24" spans="2:15" x14ac:dyDescent="0.35">
      <c r="D24" s="122" t="s">
        <v>25</v>
      </c>
      <c r="E24" s="122" t="s">
        <v>17</v>
      </c>
      <c r="F24" s="129">
        <f>meter!N16</f>
        <v>8000</v>
      </c>
      <c r="N24" s="122">
        <f t="shared" si="0"/>
        <v>10270</v>
      </c>
      <c r="O24" s="122">
        <v>10270</v>
      </c>
    </row>
    <row r="25" spans="2:15" x14ac:dyDescent="0.35">
      <c r="F25" s="129"/>
      <c r="G25" s="130"/>
      <c r="N25" s="122">
        <f t="shared" si="0"/>
        <v>11070</v>
      </c>
      <c r="O25" s="122">
        <v>11070</v>
      </c>
    </row>
    <row r="26" spans="2:15" x14ac:dyDescent="0.35">
      <c r="D26" s="122" t="s">
        <v>30</v>
      </c>
      <c r="E26" s="122" t="s">
        <v>17</v>
      </c>
      <c r="F26" s="129">
        <f>meter!M16</f>
        <v>0</v>
      </c>
      <c r="G26" s="130"/>
      <c r="N26" s="122">
        <f t="shared" si="0"/>
        <v>11550</v>
      </c>
      <c r="O26" s="122">
        <v>11550</v>
      </c>
    </row>
    <row r="27" spans="2:15" x14ac:dyDescent="0.35">
      <c r="D27" s="122" t="s">
        <v>117</v>
      </c>
      <c r="E27" s="122" t="s">
        <v>17</v>
      </c>
      <c r="F27" s="129"/>
      <c r="G27" s="130"/>
      <c r="N27" s="122">
        <f t="shared" si="0"/>
        <v>11393</v>
      </c>
      <c r="O27" s="122">
        <v>11393</v>
      </c>
    </row>
    <row r="28" spans="2:15" x14ac:dyDescent="0.35">
      <c r="D28" s="122" t="s">
        <v>60</v>
      </c>
      <c r="E28" s="122" t="s">
        <v>17</v>
      </c>
      <c r="F28" s="129">
        <f>IF(F18*4%*1&lt;0,0,F18*4%*1)</f>
        <v>0</v>
      </c>
      <c r="G28" s="129"/>
      <c r="N28" s="122">
        <f t="shared" si="0"/>
        <v>10802</v>
      </c>
      <c r="O28" s="122">
        <v>10802</v>
      </c>
    </row>
    <row r="29" spans="2:15" x14ac:dyDescent="0.35">
      <c r="F29" s="129"/>
      <c r="G29" s="130"/>
      <c r="L29" s="122" t="s">
        <v>43</v>
      </c>
      <c r="N29" s="122">
        <f t="shared" si="0"/>
        <v>8930</v>
      </c>
      <c r="O29" s="122">
        <v>8930</v>
      </c>
    </row>
    <row r="30" spans="2:15" x14ac:dyDescent="0.35">
      <c r="D30" s="122" t="s">
        <v>11</v>
      </c>
      <c r="E30" s="122" t="s">
        <v>22</v>
      </c>
      <c r="F30" s="129">
        <f>SUM(F17:F29)</f>
        <v>8000</v>
      </c>
      <c r="G30" s="130"/>
      <c r="N30" s="122">
        <f t="shared" si="0"/>
        <v>9570</v>
      </c>
      <c r="O30" s="122">
        <v>9570</v>
      </c>
    </row>
    <row r="31" spans="2:15" x14ac:dyDescent="0.35">
      <c r="F31" s="129"/>
      <c r="N31" s="122">
        <f t="shared" si="0"/>
        <v>11390</v>
      </c>
      <c r="O31" s="122">
        <v>11390</v>
      </c>
    </row>
    <row r="32" spans="2:15" x14ac:dyDescent="0.35">
      <c r="D32" s="122" t="s">
        <v>34</v>
      </c>
      <c r="F32" s="129">
        <f>meter!T16</f>
        <v>0</v>
      </c>
      <c r="N32" s="122">
        <f t="shared" si="0"/>
        <v>10750</v>
      </c>
      <c r="O32" s="122">
        <v>10750</v>
      </c>
    </row>
    <row r="33" spans="1:18" x14ac:dyDescent="0.35">
      <c r="F33" s="129"/>
      <c r="N33" s="122">
        <f t="shared" si="0"/>
        <v>11732</v>
      </c>
      <c r="O33" s="122">
        <v>11732</v>
      </c>
    </row>
    <row r="34" spans="1:18" x14ac:dyDescent="0.35">
      <c r="D34" s="122" t="s">
        <v>87</v>
      </c>
      <c r="F34" s="130">
        <f>F30-F32</f>
        <v>8000</v>
      </c>
      <c r="N34" s="122">
        <f t="shared" si="0"/>
        <v>10934</v>
      </c>
      <c r="O34" s="122">
        <v>10934</v>
      </c>
      <c r="R34" s="122">
        <v>700</v>
      </c>
    </row>
    <row r="35" spans="1:18" x14ac:dyDescent="0.35">
      <c r="B35" s="123"/>
      <c r="N35" s="122">
        <f t="shared" si="0"/>
        <v>10270</v>
      </c>
      <c r="O35" s="122">
        <v>10270</v>
      </c>
    </row>
    <row r="36" spans="1:18" ht="21" x14ac:dyDescent="0.5">
      <c r="B36" s="132"/>
      <c r="D36" s="137" t="s">
        <v>227</v>
      </c>
      <c r="N36" s="122">
        <f t="shared" si="0"/>
        <v>10598</v>
      </c>
      <c r="O36" s="122">
        <v>10598</v>
      </c>
    </row>
    <row r="37" spans="1:18" x14ac:dyDescent="0.35">
      <c r="B37" s="132"/>
      <c r="N37" s="122">
        <f t="shared" si="0"/>
        <v>8770</v>
      </c>
      <c r="O37" s="122">
        <v>8770</v>
      </c>
    </row>
    <row r="38" spans="1:18" x14ac:dyDescent="0.35">
      <c r="B38" s="132"/>
      <c r="N38" s="122">
        <f t="shared" si="0"/>
        <v>8770</v>
      </c>
      <c r="O38" s="122">
        <v>8770</v>
      </c>
    </row>
    <row r="39" spans="1:18" x14ac:dyDescent="0.35">
      <c r="B39" s="132"/>
      <c r="O39" s="122">
        <f>SUM(O3:O38)</f>
        <v>391268</v>
      </c>
      <c r="Q39" s="122">
        <f>SUM(Q3:Q38)</f>
        <v>0</v>
      </c>
    </row>
    <row r="40" spans="1:18" hidden="1" x14ac:dyDescent="0.35">
      <c r="B40" s="132"/>
    </row>
    <row r="41" spans="1:18" x14ac:dyDescent="0.35">
      <c r="B41" s="132"/>
    </row>
    <row r="42" spans="1:18" x14ac:dyDescent="0.35">
      <c r="B42" s="132"/>
      <c r="I42" s="133"/>
    </row>
    <row r="43" spans="1:18" x14ac:dyDescent="0.35">
      <c r="B43" s="123"/>
    </row>
    <row r="44" spans="1:18" x14ac:dyDescent="0.35">
      <c r="B44" s="123"/>
    </row>
    <row r="45" spans="1:18" x14ac:dyDescent="0.35">
      <c r="B45" s="123"/>
      <c r="G45" s="134"/>
      <c r="H45" s="134"/>
      <c r="I45" s="134"/>
    </row>
    <row r="46" spans="1:18" x14ac:dyDescent="0.35">
      <c r="A46" s="134"/>
      <c r="B46" s="123"/>
    </row>
    <row r="47" spans="1:18" x14ac:dyDescent="0.35">
      <c r="B47" s="123"/>
    </row>
    <row r="48" spans="1:18" x14ac:dyDescent="0.35">
      <c r="B48" s="134"/>
      <c r="C48" s="134"/>
      <c r="D48" s="134"/>
      <c r="E48" s="134"/>
      <c r="F48" s="134"/>
    </row>
    <row r="49" spans="1:9" x14ac:dyDescent="0.35">
      <c r="B49" s="134"/>
    </row>
    <row r="50" spans="1:9" x14ac:dyDescent="0.35">
      <c r="A50" s="132"/>
      <c r="B50" s="123"/>
      <c r="G50" s="132"/>
      <c r="H50" s="132"/>
      <c r="I50" s="132"/>
    </row>
    <row r="51" spans="1:9" x14ac:dyDescent="0.35">
      <c r="A51" s="132"/>
      <c r="B51" s="123"/>
    </row>
    <row r="52" spans="1:9" x14ac:dyDescent="0.35">
      <c r="A52" s="132"/>
      <c r="B52" s="132"/>
    </row>
    <row r="53" spans="1:9" x14ac:dyDescent="0.35">
      <c r="A53" s="132"/>
      <c r="B53" s="132"/>
      <c r="C53" s="132"/>
      <c r="D53" s="132"/>
      <c r="E53" s="132"/>
      <c r="F53" s="132"/>
    </row>
  </sheetData>
  <pageMargins left="0.7" right="0.7" top="0.75" bottom="0.75" header="0.3" footer="0.3"/>
  <pageSetup paperSize="9"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V55"/>
  <sheetViews>
    <sheetView topLeftCell="A23" zoomScale="60" workbookViewId="0">
      <selection activeCell="F48" sqref="F47:F48"/>
    </sheetView>
  </sheetViews>
  <sheetFormatPr defaultColWidth="9" defaultRowHeight="14.5" x14ac:dyDescent="0.35"/>
  <cols>
    <col min="1" max="1" width="4.81640625" style="1" customWidth="1"/>
    <col min="2" max="2" width="22.1796875" style="1" customWidth="1"/>
    <col min="3" max="3" width="1.453125" style="1" customWidth="1"/>
    <col min="4" max="4" width="31.26953125" style="1" customWidth="1"/>
    <col min="5" max="5" width="4.54296875" style="28" customWidth="1"/>
    <col min="6" max="6" width="15.54296875" style="1" customWidth="1"/>
    <col min="7" max="7" width="9.1796875" style="1" customWidth="1"/>
    <col min="8" max="8" width="7.81640625" style="1" customWidth="1"/>
    <col min="9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105</v>
      </c>
      <c r="D2" s="1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'1A'!H3+14-1</f>
        <v>51</v>
      </c>
      <c r="J4" s="1">
        <f>'1A'!H3+14-1</f>
        <v>51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>
        <f>meter!B17</f>
        <v>0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22" t="s">
        <v>127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meter!E17</f>
        <v>45</v>
      </c>
      <c r="C16" s="7"/>
      <c r="D16" s="7">
        <f>meter!F17</f>
        <v>45</v>
      </c>
      <c r="E16" s="28" t="s">
        <v>18</v>
      </c>
      <c r="F16" s="8">
        <f>D16-B16</f>
        <v>0</v>
      </c>
      <c r="H16" s="1" t="s">
        <v>104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19</v>
      </c>
      <c r="F18" s="10">
        <f>meter!O17</f>
        <v>516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">
        <f>meter!I17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28" t="s">
        <v>17</v>
      </c>
      <c r="F24" s="10">
        <f>meter!N17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x14ac:dyDescent="0.35">
      <c r="D28" s="1" t="s">
        <v>73</v>
      </c>
      <c r="E28" s="1" t="s">
        <v>17</v>
      </c>
      <c r="F28" s="10">
        <f>IF(F18*4%*1&lt;0,0,F18*4%*1)</f>
        <v>20.64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8536.64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E32" s="1"/>
      <c r="F32" s="10">
        <f>meter!T17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E34" s="1"/>
      <c r="F34" s="12">
        <f>F30-F32</f>
        <v>8536.64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E35" s="1"/>
      <c r="N35" s="1">
        <f t="shared" si="0"/>
        <v>10270</v>
      </c>
      <c r="O35" s="1">
        <v>10270</v>
      </c>
    </row>
    <row r="36" spans="1:18" x14ac:dyDescent="0.35">
      <c r="B36" s="13"/>
      <c r="E36" s="1"/>
      <c r="L36" s="30"/>
      <c r="N36" s="1">
        <f t="shared" si="0"/>
        <v>10598</v>
      </c>
      <c r="O36" s="1">
        <v>10598</v>
      </c>
    </row>
    <row r="37" spans="1:18" ht="23.5" x14ac:dyDescent="0.55000000000000004">
      <c r="B37" s="13"/>
      <c r="D37" s="139" t="s">
        <v>228</v>
      </c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</row>
    <row r="43" spans="1:18" x14ac:dyDescent="0.35">
      <c r="B43" s="4"/>
      <c r="E43" s="1"/>
    </row>
    <row r="44" spans="1:18" x14ac:dyDescent="0.35">
      <c r="B44" s="14"/>
      <c r="E44" s="1"/>
    </row>
    <row r="45" spans="1:18" x14ac:dyDescent="0.35">
      <c r="B45" s="14"/>
      <c r="E45" s="1"/>
      <c r="G45" s="15"/>
      <c r="H45" s="15"/>
      <c r="I45" s="15"/>
    </row>
    <row r="46" spans="1:18" x14ac:dyDescent="0.35">
      <c r="A46" s="15"/>
      <c r="B46" s="14"/>
      <c r="E46" s="1"/>
    </row>
    <row r="47" spans="1:18" x14ac:dyDescent="0.35">
      <c r="B47" s="14"/>
      <c r="E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E49" s="1"/>
    </row>
    <row r="50" spans="1:9" x14ac:dyDescent="0.35">
      <c r="A50" s="13"/>
      <c r="B50" s="14"/>
      <c r="E50" s="1"/>
      <c r="G50" s="13"/>
      <c r="H50" s="13"/>
      <c r="I50" s="13"/>
    </row>
    <row r="51" spans="1:9" x14ac:dyDescent="0.35">
      <c r="A51" s="13"/>
      <c r="B51" s="4"/>
      <c r="E51" s="1"/>
    </row>
    <row r="52" spans="1:9" x14ac:dyDescent="0.35">
      <c r="A52" s="13"/>
      <c r="B52" s="13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6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V55"/>
  <sheetViews>
    <sheetView topLeftCell="A14" zoomScale="60" workbookViewId="0">
      <selection activeCell="F46" sqref="F45:F46"/>
    </sheetView>
  </sheetViews>
  <sheetFormatPr defaultColWidth="9" defaultRowHeight="14.5" x14ac:dyDescent="0.35"/>
  <cols>
    <col min="1" max="1" width="9.1796875" style="1" customWidth="1"/>
    <col min="2" max="2" width="21.26953125" style="1" customWidth="1"/>
    <col min="3" max="3" width="0.26953125" style="1" customWidth="1"/>
    <col min="4" max="4" width="33.453125" style="1" customWidth="1"/>
    <col min="5" max="5" width="13.1796875" style="28" customWidth="1"/>
    <col min="6" max="6" width="12.54296875" style="1" customWidth="1"/>
    <col min="7" max="7" width="1" style="1" customWidth="1"/>
    <col min="8" max="8" width="9.1796875" style="1" customWidth="1"/>
    <col min="9" max="9" width="9.26953125" style="1" customWidth="1"/>
    <col min="10" max="10" width="13.45312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'1A'!H3+15-1</f>
        <v>52</v>
      </c>
      <c r="J4" s="1">
        <f>'1A'!H3+15-1</f>
        <v>52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meter!B18</f>
        <v>AHMED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22" t="s">
        <v>128</v>
      </c>
      <c r="N8" s="1">
        <f t="shared" si="0"/>
        <v>9250</v>
      </c>
      <c r="O8" s="1">
        <v>9250</v>
      </c>
    </row>
    <row r="9" spans="2:15" x14ac:dyDescent="0.35">
      <c r="D9" s="25"/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meter!E18</f>
        <v>52</v>
      </c>
      <c r="C16" s="7"/>
      <c r="D16" s="7">
        <f>meter!F18</f>
        <v>52</v>
      </c>
      <c r="E16" s="28" t="s">
        <v>18</v>
      </c>
      <c r="F16" s="8">
        <f>D16-B16</f>
        <v>0</v>
      </c>
      <c r="N16" s="1">
        <f t="shared" si="0"/>
        <v>9420</v>
      </c>
      <c r="O16" s="1">
        <v>9420</v>
      </c>
    </row>
    <row r="17" spans="2:15" x14ac:dyDescent="0.35">
      <c r="F17" s="1" t="s">
        <v>63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19</v>
      </c>
      <c r="F18" s="10">
        <f>meter!O18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">
        <f>meter!I18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28" t="s">
        <v>17</v>
      </c>
      <c r="F24" s="10">
        <f>meter!N18</f>
        <v>10000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x14ac:dyDescent="0.35">
      <c r="D28" s="6" t="s">
        <v>73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C30" s="1" t="s">
        <v>11</v>
      </c>
      <c r="D30" s="1" t="s">
        <v>88</v>
      </c>
      <c r="E30" s="1" t="s">
        <v>22</v>
      </c>
      <c r="F30" s="12">
        <f>SUM(F17:F29)</f>
        <v>10000</v>
      </c>
      <c r="G30" s="12"/>
      <c r="N30" s="1">
        <f t="shared" si="0"/>
        <v>9570</v>
      </c>
      <c r="O30" s="1">
        <v>9570</v>
      </c>
    </row>
    <row r="31" spans="2:15" x14ac:dyDescent="0.35">
      <c r="E31" s="10"/>
      <c r="N31" s="1">
        <f t="shared" si="0"/>
        <v>11390</v>
      </c>
      <c r="O31" s="1">
        <v>11390</v>
      </c>
    </row>
    <row r="32" spans="2:15" x14ac:dyDescent="0.35">
      <c r="C32" s="1" t="s">
        <v>34</v>
      </c>
      <c r="E32" s="10" t="s">
        <v>89</v>
      </c>
      <c r="F32" s="1">
        <f>meter!T18</f>
        <v>0</v>
      </c>
      <c r="N32" s="1">
        <f t="shared" si="0"/>
        <v>10750</v>
      </c>
      <c r="O32" s="1">
        <v>10750</v>
      </c>
    </row>
    <row r="33" spans="1:18" x14ac:dyDescent="0.35">
      <c r="E33" s="10"/>
      <c r="N33" s="1">
        <f t="shared" si="0"/>
        <v>11732</v>
      </c>
      <c r="O33" s="1">
        <v>11732</v>
      </c>
    </row>
    <row r="34" spans="1:18" x14ac:dyDescent="0.35">
      <c r="C34" s="1" t="s">
        <v>86</v>
      </c>
      <c r="D34" s="1" t="s">
        <v>87</v>
      </c>
      <c r="E34" s="12" t="s">
        <v>17</v>
      </c>
      <c r="F34" s="12">
        <f>F30-F32</f>
        <v>10000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B35" s="9" t="s">
        <v>12</v>
      </c>
      <c r="E35" s="1"/>
      <c r="N35" s="1">
        <f t="shared" si="0"/>
        <v>10270</v>
      </c>
      <c r="O35" s="1">
        <v>10270</v>
      </c>
    </row>
    <row r="36" spans="1:18" ht="23.5" x14ac:dyDescent="0.55000000000000004">
      <c r="B36" s="13"/>
      <c r="D36" s="139" t="s">
        <v>229</v>
      </c>
      <c r="E36" s="1"/>
      <c r="L36" s="30"/>
      <c r="N36" s="1">
        <f t="shared" si="0"/>
        <v>10598</v>
      </c>
      <c r="O36" s="1">
        <v>10598</v>
      </c>
    </row>
    <row r="37" spans="1:18" x14ac:dyDescent="0.35">
      <c r="B37" s="13"/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  <c r="I42" s="31"/>
      <c r="J42" s="15"/>
    </row>
    <row r="43" spans="1:18" x14ac:dyDescent="0.35">
      <c r="B43" s="4"/>
      <c r="E43" s="1"/>
    </row>
    <row r="44" spans="1:18" x14ac:dyDescent="0.35">
      <c r="B44" s="14"/>
      <c r="E44" s="1"/>
    </row>
    <row r="45" spans="1:18" x14ac:dyDescent="0.35">
      <c r="B45" s="14"/>
      <c r="E45" s="1"/>
      <c r="G45" s="15"/>
      <c r="H45" s="15"/>
      <c r="I45" s="15"/>
    </row>
    <row r="46" spans="1:18" x14ac:dyDescent="0.35">
      <c r="A46" s="15"/>
      <c r="B46" s="14"/>
      <c r="E46" s="1"/>
    </row>
    <row r="47" spans="1:18" x14ac:dyDescent="0.35">
      <c r="B47" s="14"/>
      <c r="E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E49" s="1"/>
    </row>
    <row r="50" spans="1:9" x14ac:dyDescent="0.35">
      <c r="A50" s="13"/>
      <c r="B50" s="14"/>
      <c r="E50" s="1"/>
      <c r="G50" s="13"/>
      <c r="H50" s="13"/>
      <c r="I50" s="13"/>
    </row>
    <row r="51" spans="1:9" x14ac:dyDescent="0.35">
      <c r="A51" s="13"/>
      <c r="B51" s="4"/>
      <c r="E51" s="1"/>
    </row>
    <row r="52" spans="1:9" x14ac:dyDescent="0.35">
      <c r="A52" s="13"/>
      <c r="B52" s="13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7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V55"/>
  <sheetViews>
    <sheetView topLeftCell="A19" zoomScale="70" workbookViewId="0">
      <selection activeCell="G44" sqref="G44"/>
    </sheetView>
  </sheetViews>
  <sheetFormatPr defaultColWidth="9" defaultRowHeight="14.5" x14ac:dyDescent="0.35"/>
  <cols>
    <col min="1" max="1" width="9.1796875" style="1" customWidth="1"/>
    <col min="2" max="2" width="17" style="1" customWidth="1"/>
    <col min="3" max="3" width="3.453125" style="1" customWidth="1"/>
    <col min="4" max="4" width="31.54296875" style="1" customWidth="1"/>
    <col min="5" max="5" width="6.54296875" style="28" customWidth="1"/>
    <col min="6" max="6" width="15.7265625" style="1" customWidth="1"/>
    <col min="7" max="8" width="9.1796875" style="1" customWidth="1"/>
    <col min="9" max="9" width="8.54296875" style="1" customWidth="1"/>
    <col min="10" max="11" width="9.1796875" style="1" customWidth="1"/>
    <col min="12" max="12" width="0.26953125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'1A'!H3+16-1</f>
        <v>53</v>
      </c>
      <c r="M4" s="1">
        <f>'1A'!H3+16-1</f>
        <v>53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meter!B19</f>
        <v>ABASS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22" t="s">
        <v>129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meter!E19</f>
        <v>11</v>
      </c>
      <c r="C16" s="7"/>
      <c r="D16" s="7">
        <f>meter!F19</f>
        <v>12</v>
      </c>
      <c r="E16" s="28" t="s">
        <v>18</v>
      </c>
      <c r="F16" s="8">
        <f>D16-B16</f>
        <v>1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19</v>
      </c>
      <c r="F18" s="10">
        <f>meter!O19</f>
        <v>516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">
        <f>meter!I19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28" t="s">
        <v>17</v>
      </c>
      <c r="F24" s="10">
        <f>meter!N19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ht="29" x14ac:dyDescent="0.35">
      <c r="D28" s="6" t="s">
        <v>91</v>
      </c>
      <c r="E28" s="28" t="s">
        <v>17</v>
      </c>
      <c r="F28" s="10">
        <f>IF(F18*4%*1&lt;0,0,F18*4%*1)</f>
        <v>20.64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8686.64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E32" s="1"/>
      <c r="F32" s="10">
        <f>meter!T19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E34" s="1"/>
      <c r="F34" s="12">
        <f>F30-F32</f>
        <v>8686.64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E35" s="1"/>
      <c r="N35" s="1">
        <f t="shared" si="0"/>
        <v>10270</v>
      </c>
      <c r="O35" s="1">
        <v>10270</v>
      </c>
    </row>
    <row r="36" spans="1:18" ht="21" x14ac:dyDescent="0.5">
      <c r="B36" s="13"/>
      <c r="D36" s="137" t="s">
        <v>230</v>
      </c>
      <c r="E36" s="1"/>
      <c r="L36" s="30"/>
      <c r="N36" s="1">
        <f t="shared" si="0"/>
        <v>10598</v>
      </c>
      <c r="O36" s="1">
        <v>10598</v>
      </c>
    </row>
    <row r="37" spans="1:18" x14ac:dyDescent="0.35">
      <c r="B37" s="13"/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</row>
    <row r="43" spans="1:18" x14ac:dyDescent="0.35">
      <c r="B43" s="4"/>
      <c r="E43" s="1"/>
    </row>
    <row r="44" spans="1:18" x14ac:dyDescent="0.35">
      <c r="B44" s="14"/>
      <c r="E44" s="1"/>
    </row>
    <row r="45" spans="1:18" x14ac:dyDescent="0.35">
      <c r="B45" s="14"/>
      <c r="E45" s="1"/>
      <c r="G45" s="15"/>
      <c r="H45" s="15"/>
      <c r="I45" s="15"/>
    </row>
    <row r="46" spans="1:18" x14ac:dyDescent="0.35">
      <c r="A46" s="15"/>
      <c r="B46" s="14"/>
      <c r="E46" s="1"/>
    </row>
    <row r="47" spans="1:18" x14ac:dyDescent="0.35">
      <c r="B47" s="14"/>
      <c r="E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E49" s="1"/>
    </row>
    <row r="50" spans="1:9" x14ac:dyDescent="0.35">
      <c r="A50" s="13"/>
      <c r="B50" s="14"/>
      <c r="E50" s="1"/>
      <c r="G50" s="13"/>
      <c r="H50" s="13"/>
      <c r="I50" s="13"/>
    </row>
    <row r="51" spans="1:9" x14ac:dyDescent="0.35">
      <c r="A51" s="13"/>
      <c r="B51" s="4"/>
      <c r="E51" s="1"/>
    </row>
    <row r="52" spans="1:9" x14ac:dyDescent="0.35">
      <c r="A52" s="13"/>
      <c r="B52" s="13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6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IV55"/>
  <sheetViews>
    <sheetView topLeftCell="A23" zoomScale="60" workbookViewId="0">
      <selection activeCell="E44" sqref="E44"/>
    </sheetView>
  </sheetViews>
  <sheetFormatPr defaultColWidth="9" defaultRowHeight="14.5" x14ac:dyDescent="0.35"/>
  <cols>
    <col min="1" max="1" width="9.1796875" style="1" customWidth="1"/>
    <col min="2" max="2" width="14.81640625" style="1" customWidth="1"/>
    <col min="3" max="3" width="0.26953125" style="1" customWidth="1"/>
    <col min="4" max="4" width="45.7265625" style="1" customWidth="1"/>
    <col min="5" max="5" width="13.1796875" style="28" customWidth="1"/>
    <col min="6" max="6" width="16.26953125" style="1" customWidth="1"/>
    <col min="7" max="7" width="1.26953125" style="1" customWidth="1"/>
    <col min="8" max="8" width="11.81640625" style="1" customWidth="1"/>
    <col min="9" max="9" width="10.269531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105</v>
      </c>
      <c r="D2" s="1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'1A'!H3+17-1</f>
        <v>54</v>
      </c>
      <c r="J4" s="1">
        <f>'1A'!H3+17-1</f>
        <v>54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>
        <f>meter!B20</f>
        <v>0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22" t="s">
        <v>130</v>
      </c>
      <c r="N8" s="1">
        <f t="shared" si="0"/>
        <v>9250</v>
      </c>
      <c r="O8" s="1">
        <v>9250</v>
      </c>
    </row>
    <row r="9" spans="2:15" x14ac:dyDescent="0.35">
      <c r="D9" s="25" t="s">
        <v>77</v>
      </c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meter!E20</f>
        <v>12</v>
      </c>
      <c r="C16" s="7"/>
      <c r="D16" s="7">
        <f>meter!F20</f>
        <v>12</v>
      </c>
      <c r="E16" s="28" t="s">
        <v>18</v>
      </c>
      <c r="F16" s="8">
        <f>D16-B16</f>
        <v>0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19</v>
      </c>
      <c r="F18" s="10">
        <f>meter!O20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0">
        <f>meter!I20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28" t="s">
        <v>17</v>
      </c>
      <c r="F24" s="10">
        <f>meter!N20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x14ac:dyDescent="0.35">
      <c r="D28" s="1" t="s">
        <v>92</v>
      </c>
      <c r="E28" s="28" t="s">
        <v>17</v>
      </c>
      <c r="F28" s="10">
        <f>IF(F18*8%*1&lt;0,0,F18*8%*1)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8000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E32" s="1"/>
      <c r="F32" s="10">
        <f>meter!T20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E34" s="1"/>
      <c r="F34" s="12">
        <f>F30-F32</f>
        <v>8000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E35" s="1"/>
      <c r="N35" s="1">
        <f t="shared" si="0"/>
        <v>10270</v>
      </c>
      <c r="O35" s="1">
        <v>10270</v>
      </c>
    </row>
    <row r="36" spans="1:18" x14ac:dyDescent="0.35">
      <c r="B36" s="13"/>
      <c r="E36" s="1"/>
      <c r="L36" s="30"/>
      <c r="N36" s="1">
        <f t="shared" si="0"/>
        <v>10598</v>
      </c>
      <c r="O36" s="1">
        <v>10598</v>
      </c>
    </row>
    <row r="37" spans="1:18" ht="23.5" x14ac:dyDescent="0.55000000000000004">
      <c r="B37" s="13"/>
      <c r="D37" s="139" t="s">
        <v>231</v>
      </c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</row>
    <row r="43" spans="1:18" x14ac:dyDescent="0.35">
      <c r="B43" s="4"/>
      <c r="E43" s="1"/>
    </row>
    <row r="44" spans="1:18" x14ac:dyDescent="0.35">
      <c r="B44" s="4"/>
      <c r="E44" s="1"/>
      <c r="I44" s="31"/>
    </row>
    <row r="45" spans="1:18" x14ac:dyDescent="0.35">
      <c r="A45" s="15"/>
      <c r="B45" s="4"/>
      <c r="E45" s="1"/>
      <c r="G45" s="15"/>
      <c r="H45" s="15"/>
    </row>
    <row r="46" spans="1:18" x14ac:dyDescent="0.35">
      <c r="B46" s="4"/>
      <c r="E46" s="1"/>
    </row>
    <row r="47" spans="1:18" x14ac:dyDescent="0.35">
      <c r="B47" s="4"/>
      <c r="E47" s="1"/>
    </row>
    <row r="48" spans="1:18" x14ac:dyDescent="0.35">
      <c r="B48" s="15"/>
      <c r="C48" s="15"/>
      <c r="D48" s="15"/>
      <c r="E48" s="15"/>
      <c r="F48" s="15"/>
    </row>
    <row r="49" spans="1:10" x14ac:dyDescent="0.35">
      <c r="A49" s="13"/>
      <c r="B49" s="15"/>
      <c r="E49" s="1"/>
    </row>
    <row r="50" spans="1:10" x14ac:dyDescent="0.35">
      <c r="B50" s="4"/>
      <c r="E50" s="1"/>
      <c r="G50" s="13"/>
      <c r="H50" s="13"/>
    </row>
    <row r="51" spans="1:10" x14ac:dyDescent="0.35">
      <c r="A51" s="13"/>
      <c r="B51" s="13"/>
      <c r="C51" s="4"/>
      <c r="E51" s="1"/>
    </row>
    <row r="52" spans="1:10" x14ac:dyDescent="0.35">
      <c r="A52" s="13"/>
      <c r="B52" s="13"/>
      <c r="C52" s="13"/>
      <c r="E52" s="1"/>
      <c r="J52" s="13"/>
    </row>
    <row r="53" spans="1:10" x14ac:dyDescent="0.35">
      <c r="C53" s="13"/>
      <c r="D53" s="13"/>
      <c r="E53" s="13"/>
      <c r="F53" s="13"/>
      <c r="G53" s="13"/>
    </row>
    <row r="54" spans="1:10" x14ac:dyDescent="0.35">
      <c r="E54" s="1"/>
    </row>
    <row r="55" spans="1:10" x14ac:dyDescent="0.35">
      <c r="E55" s="1"/>
    </row>
  </sheetData>
  <pageMargins left="0.7" right="0.7" top="0.75" bottom="0.75" header="0.3" footer="0.3"/>
  <pageSetup paperSize="9" scale="64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IV55"/>
  <sheetViews>
    <sheetView topLeftCell="A17" zoomScale="60" workbookViewId="0">
      <selection activeCell="H50" sqref="H49:H50"/>
    </sheetView>
  </sheetViews>
  <sheetFormatPr defaultColWidth="9" defaultRowHeight="14.5" x14ac:dyDescent="0.35"/>
  <cols>
    <col min="1" max="1" width="9.1796875" style="1" customWidth="1"/>
    <col min="2" max="2" width="22" style="1" customWidth="1"/>
    <col min="3" max="3" width="2.453125" style="1" customWidth="1"/>
    <col min="4" max="4" width="35.1796875" style="1" customWidth="1"/>
    <col min="5" max="5" width="13.1796875" style="28" customWidth="1"/>
    <col min="6" max="6" width="19.453125" style="1" customWidth="1"/>
    <col min="7" max="7" width="5" style="1" customWidth="1"/>
    <col min="8" max="8" width="9.1796875" style="1" customWidth="1"/>
    <col min="9" max="9" width="8.7265625" style="1" customWidth="1"/>
    <col min="10" max="11" width="9.1796875" style="1" customWidth="1"/>
    <col min="12" max="12" width="0.1796875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'1A'!H3+18-1</f>
        <v>55</v>
      </c>
      <c r="K4" s="1">
        <f>'1A'!H3+18-1</f>
        <v>55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meter!B21</f>
        <v>KHADIJA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56</v>
      </c>
      <c r="D8" s="22" t="s">
        <v>131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meter!E21</f>
        <v>17</v>
      </c>
      <c r="C16" s="7"/>
      <c r="D16" s="7">
        <f>meter!F21</f>
        <v>20</v>
      </c>
      <c r="E16" s="28" t="s">
        <v>18</v>
      </c>
      <c r="F16" s="8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22</v>
      </c>
      <c r="F18" s="1">
        <f>meter!O21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">
        <f>meter!I21</f>
        <v>450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28" t="s">
        <v>17</v>
      </c>
      <c r="F24" s="10">
        <f>meter!N21</f>
        <v>10000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x14ac:dyDescent="0.35">
      <c r="D28" s="1" t="s">
        <v>73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10450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E32" s="1"/>
      <c r="F32" s="10">
        <f>meter!T21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E34" s="1"/>
      <c r="F34" s="12">
        <f>F30-F32</f>
        <v>10450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E35" s="1"/>
      <c r="N35" s="1">
        <f t="shared" si="0"/>
        <v>10270</v>
      </c>
      <c r="O35" s="1">
        <v>10270</v>
      </c>
    </row>
    <row r="36" spans="1:18" ht="23.5" x14ac:dyDescent="0.55000000000000004">
      <c r="B36" s="13"/>
      <c r="D36" s="139" t="s">
        <v>232</v>
      </c>
      <c r="E36" s="1"/>
      <c r="L36" s="30"/>
      <c r="N36" s="1">
        <f t="shared" si="0"/>
        <v>10598</v>
      </c>
      <c r="O36" s="1">
        <v>10598</v>
      </c>
    </row>
    <row r="37" spans="1:18" x14ac:dyDescent="0.35">
      <c r="B37" s="13"/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</row>
    <row r="43" spans="1:18" x14ac:dyDescent="0.35">
      <c r="B43" s="4"/>
      <c r="E43" s="1"/>
    </row>
    <row r="44" spans="1:18" x14ac:dyDescent="0.35">
      <c r="B44" s="14"/>
      <c r="E44" s="1"/>
    </row>
    <row r="45" spans="1:18" x14ac:dyDescent="0.35">
      <c r="B45" s="14"/>
      <c r="E45" s="1"/>
      <c r="G45" s="15"/>
      <c r="H45" s="15"/>
      <c r="I45" s="15"/>
    </row>
    <row r="46" spans="1:18" x14ac:dyDescent="0.35">
      <c r="A46" s="15"/>
      <c r="B46" s="14"/>
      <c r="E46" s="1"/>
    </row>
    <row r="47" spans="1:18" x14ac:dyDescent="0.35">
      <c r="B47" s="14"/>
      <c r="E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E49" s="1"/>
    </row>
    <row r="50" spans="1:9" x14ac:dyDescent="0.35">
      <c r="A50" s="13"/>
      <c r="B50" s="14"/>
      <c r="E50" s="1"/>
      <c r="G50" s="13"/>
      <c r="H50" s="13"/>
      <c r="I50" s="13"/>
    </row>
    <row r="51" spans="1:9" x14ac:dyDescent="0.35">
      <c r="A51" s="13"/>
      <c r="B51" s="4"/>
      <c r="E51" s="1"/>
    </row>
    <row r="52" spans="1:9" x14ac:dyDescent="0.35">
      <c r="A52" s="13"/>
      <c r="B52" s="13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6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IV58"/>
  <sheetViews>
    <sheetView topLeftCell="A17" zoomScale="60" workbookViewId="0">
      <selection activeCell="F47" sqref="F46:F47"/>
    </sheetView>
  </sheetViews>
  <sheetFormatPr defaultColWidth="9" defaultRowHeight="14.5" x14ac:dyDescent="0.35"/>
  <cols>
    <col min="1" max="1" width="9.1796875" style="1" customWidth="1"/>
    <col min="2" max="2" width="23.1796875" style="1" customWidth="1"/>
    <col min="3" max="3" width="9.1796875" style="1" customWidth="1"/>
    <col min="4" max="4" width="19.81640625" style="1" customWidth="1"/>
    <col min="5" max="5" width="13.1796875" style="28" customWidth="1"/>
    <col min="6" max="6" width="25.81640625" style="1" customWidth="1"/>
    <col min="7" max="8" width="9.1796875" style="1" customWidth="1"/>
    <col min="9" max="9" width="17.54296875" style="1" customWidth="1"/>
    <col min="10" max="10" width="0.26953125" style="1" customWidth="1"/>
    <col min="11" max="11" width="0.542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G4" s="1" t="s">
        <v>6</v>
      </c>
      <c r="H4" s="1">
        <f>'1A'!H3+19-1</f>
        <v>56</v>
      </c>
      <c r="I4" s="1">
        <f>'1A'!H3+19-1</f>
        <v>56</v>
      </c>
      <c r="N4" s="1">
        <f t="shared" ref="N4:N38" si="0">O4-Q4</f>
        <v>10304</v>
      </c>
      <c r="O4" s="1">
        <v>10304</v>
      </c>
    </row>
    <row r="5" spans="2:15" x14ac:dyDescent="0.35">
      <c r="G5" s="1">
        <f>'1A'!H3+19-1</f>
        <v>56</v>
      </c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meter!B22</f>
        <v>AIRHA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22" t="s">
        <v>132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meter!E22</f>
        <v>12</v>
      </c>
      <c r="C16" s="7"/>
      <c r="D16" s="7">
        <f>meter!F22</f>
        <v>15</v>
      </c>
      <c r="E16" s="28" t="s">
        <v>18</v>
      </c>
      <c r="F16" s="8">
        <f>D16-B16+I16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22</v>
      </c>
      <c r="F18" s="10">
        <f>meter!O22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">
        <f>meter!I22</f>
        <v>450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6" t="s">
        <v>25</v>
      </c>
      <c r="E24" s="28" t="s">
        <v>17</v>
      </c>
      <c r="F24" s="10">
        <f>meter!N22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x14ac:dyDescent="0.35">
      <c r="D28" s="1" t="s">
        <v>75</v>
      </c>
      <c r="E28" s="28" t="s">
        <v>17</v>
      </c>
      <c r="F28" s="10">
        <f>IF(F18*8%*1&lt;0,0,F18*8%*1)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8450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E32" s="1"/>
      <c r="F32" s="10">
        <f>meter!T22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E34" s="1"/>
      <c r="F34" s="12">
        <f>F30-F32</f>
        <v>8450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E35" s="1"/>
      <c r="N35" s="1">
        <f t="shared" si="0"/>
        <v>10270</v>
      </c>
      <c r="O35" s="1">
        <v>10270</v>
      </c>
    </row>
    <row r="36" spans="1:18" ht="23.5" x14ac:dyDescent="0.55000000000000004">
      <c r="B36" s="13"/>
      <c r="D36" s="139" t="s">
        <v>233</v>
      </c>
      <c r="E36" s="1"/>
      <c r="L36" s="30"/>
      <c r="N36" s="1">
        <f t="shared" si="0"/>
        <v>10598</v>
      </c>
      <c r="O36" s="1">
        <v>10598</v>
      </c>
    </row>
    <row r="37" spans="1:18" x14ac:dyDescent="0.35">
      <c r="B37" s="13"/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</row>
    <row r="43" spans="1:18" x14ac:dyDescent="0.35">
      <c r="B43" s="4"/>
      <c r="E43" s="1"/>
    </row>
    <row r="44" spans="1:18" x14ac:dyDescent="0.35">
      <c r="B44" s="14"/>
      <c r="E44" s="1"/>
    </row>
    <row r="45" spans="1:18" x14ac:dyDescent="0.35">
      <c r="B45" s="14"/>
      <c r="E45" s="1"/>
      <c r="G45" s="15"/>
      <c r="H45" s="15"/>
      <c r="I45" s="15"/>
    </row>
    <row r="46" spans="1:18" x14ac:dyDescent="0.35">
      <c r="A46" s="15"/>
      <c r="B46" s="14"/>
      <c r="E46" s="1"/>
    </row>
    <row r="47" spans="1:18" x14ac:dyDescent="0.35">
      <c r="B47" s="14"/>
      <c r="E47" s="1"/>
    </row>
    <row r="48" spans="1:18" x14ac:dyDescent="0.35">
      <c r="B48" s="15"/>
      <c r="C48" s="15"/>
      <c r="D48" s="15"/>
      <c r="E48" s="15"/>
      <c r="F48" s="15"/>
    </row>
    <row r="49" spans="1:18" x14ac:dyDescent="0.35">
      <c r="B49" s="15"/>
      <c r="E49" s="1"/>
      <c r="I49"/>
    </row>
    <row r="50" spans="1:18" x14ac:dyDescent="0.35">
      <c r="A50" s="13"/>
      <c r="B50" s="14"/>
      <c r="E50" s="1"/>
      <c r="G50" s="13"/>
      <c r="H50" s="13"/>
      <c r="I50" s="13"/>
    </row>
    <row r="51" spans="1:18" x14ac:dyDescent="0.35">
      <c r="A51" s="13"/>
      <c r="B51" s="4"/>
      <c r="E51" s="1"/>
    </row>
    <row r="52" spans="1:18" x14ac:dyDescent="0.35">
      <c r="A52" s="13"/>
      <c r="B52" s="13"/>
      <c r="E52" s="1"/>
    </row>
    <row r="53" spans="1:18" x14ac:dyDescent="0.35">
      <c r="A53" s="13"/>
      <c r="B53" s="13"/>
      <c r="C53" s="13"/>
      <c r="D53" s="13"/>
      <c r="E53" s="13"/>
      <c r="F53" s="13"/>
    </row>
    <row r="54" spans="1:18" x14ac:dyDescent="0.35">
      <c r="E54" s="1"/>
    </row>
    <row r="55" spans="1:18" x14ac:dyDescent="0.35">
      <c r="E55" s="1"/>
    </row>
    <row r="58" spans="1:18" x14ac:dyDescent="0.35">
      <c r="R58" s="1" t="s">
        <v>102</v>
      </c>
    </row>
  </sheetData>
  <pageMargins left="0.7" right="0.7" top="0.75" bottom="0.75" header="0.3" footer="0.3"/>
  <pageSetup paperSize="9" scale="7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IV55"/>
  <sheetViews>
    <sheetView topLeftCell="A20" zoomScale="63" workbookViewId="0">
      <selection activeCell="F46" sqref="F45:F46"/>
    </sheetView>
  </sheetViews>
  <sheetFormatPr defaultColWidth="9" defaultRowHeight="14.5" x14ac:dyDescent="0.35"/>
  <cols>
    <col min="1" max="1" width="9.1796875" style="1" customWidth="1"/>
    <col min="2" max="2" width="20.54296875" style="1" customWidth="1"/>
    <col min="3" max="3" width="0.1796875" style="1" customWidth="1"/>
    <col min="4" max="4" width="19.81640625" style="1" customWidth="1"/>
    <col min="5" max="5" width="13.1796875" style="28" customWidth="1"/>
    <col min="6" max="6" width="15" style="1" customWidth="1"/>
    <col min="7" max="8" width="9.1796875" style="1" customWidth="1"/>
    <col min="9" max="9" width="9.269531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'1A'!H3+20-1</f>
        <v>57</v>
      </c>
      <c r="J4" s="1">
        <f>'1A'!H3+20-1</f>
        <v>57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meter!B23</f>
        <v>MOHAMMED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22" t="s">
        <v>133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meter!E23</f>
        <v>21</v>
      </c>
      <c r="C16" s="7"/>
      <c r="D16" s="7">
        <f>meter!F23</f>
        <v>28</v>
      </c>
      <c r="E16" s="28" t="s">
        <v>18</v>
      </c>
      <c r="F16" s="8">
        <f>D16-B16</f>
        <v>7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22</v>
      </c>
      <c r="F18" s="1">
        <f>meter!O23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">
        <f>meter!I23</f>
        <v>1050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28" t="s">
        <v>17</v>
      </c>
      <c r="F24" s="10">
        <f>meter!N23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ht="29" x14ac:dyDescent="0.35">
      <c r="D28" s="6" t="s">
        <v>48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9050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E32" s="1"/>
      <c r="F32" s="10">
        <f>meter!T23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E34" s="1"/>
      <c r="F34" s="12">
        <f>F30-F32</f>
        <v>9050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E35" s="1"/>
      <c r="N35" s="1">
        <f t="shared" si="0"/>
        <v>10270</v>
      </c>
      <c r="O35" s="1">
        <v>10270</v>
      </c>
    </row>
    <row r="36" spans="1:18" x14ac:dyDescent="0.35">
      <c r="B36" s="13"/>
      <c r="E36" s="1"/>
      <c r="L36" s="30"/>
      <c r="N36" s="1">
        <f t="shared" si="0"/>
        <v>10598</v>
      </c>
      <c r="O36" s="1">
        <v>10598</v>
      </c>
    </row>
    <row r="37" spans="1:18" ht="23.5" x14ac:dyDescent="0.55000000000000004">
      <c r="B37" s="13"/>
      <c r="D37" s="139" t="s">
        <v>234</v>
      </c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</row>
    <row r="43" spans="1:18" x14ac:dyDescent="0.35">
      <c r="B43" s="4"/>
      <c r="E43" s="1"/>
    </row>
    <row r="44" spans="1:18" x14ac:dyDescent="0.35">
      <c r="B44" s="14"/>
      <c r="E44" s="1"/>
    </row>
    <row r="45" spans="1:18" x14ac:dyDescent="0.35">
      <c r="B45" s="14"/>
      <c r="E45" s="1"/>
      <c r="G45" s="15"/>
      <c r="H45" s="15"/>
      <c r="I45" s="15"/>
    </row>
    <row r="46" spans="1:18" x14ac:dyDescent="0.35">
      <c r="A46" s="15"/>
      <c r="B46" s="14"/>
      <c r="E46" s="1"/>
    </row>
    <row r="47" spans="1:18" x14ac:dyDescent="0.35">
      <c r="B47" s="14"/>
      <c r="E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E49" s="1"/>
    </row>
    <row r="50" spans="1:9" x14ac:dyDescent="0.35">
      <c r="A50" s="13"/>
      <c r="B50" s="14"/>
      <c r="E50" s="1"/>
      <c r="G50" s="13"/>
      <c r="H50" s="13"/>
      <c r="I50" s="13"/>
    </row>
    <row r="51" spans="1:9" x14ac:dyDescent="0.35">
      <c r="A51" s="13"/>
      <c r="B51" s="4"/>
      <c r="E51" s="1"/>
    </row>
    <row r="52" spans="1:9" x14ac:dyDescent="0.35">
      <c r="A52" s="13"/>
      <c r="B52" s="13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IV55"/>
  <sheetViews>
    <sheetView topLeftCell="A22" zoomScale="60" workbookViewId="0">
      <selection activeCell="E44" sqref="E43:E44"/>
    </sheetView>
  </sheetViews>
  <sheetFormatPr defaultColWidth="9" defaultRowHeight="14.5" x14ac:dyDescent="0.35"/>
  <cols>
    <col min="1" max="1" width="9.1796875" style="1" customWidth="1"/>
    <col min="2" max="2" width="23.1796875" style="1" customWidth="1"/>
    <col min="3" max="3" width="2.26953125" style="1" customWidth="1"/>
    <col min="4" max="4" width="25.1796875" style="1" customWidth="1"/>
    <col min="5" max="5" width="13.1796875" style="28" customWidth="1"/>
    <col min="6" max="6" width="12.1796875" style="1" customWidth="1"/>
    <col min="7" max="7" width="9.1796875" style="1" customWidth="1"/>
    <col min="8" max="8" width="9.54296875" style="1" customWidth="1"/>
    <col min="9" max="9" width="9.26953125" style="1" customWidth="1"/>
    <col min="10" max="10" width="0.7265625" style="1" customWidth="1"/>
    <col min="11" max="11" width="9.1796875" style="1" customWidth="1"/>
    <col min="12" max="12" width="27" style="1" customWidth="1"/>
    <col min="13" max="15" width="9.54296875" style="1" customWidth="1"/>
    <col min="16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'1A'!H3+21-1</f>
        <v>58</v>
      </c>
      <c r="L4" s="1">
        <f>'1A'!H3+21-1</f>
        <v>58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meter!B24</f>
        <v>RIYAQ MOHAMMED</v>
      </c>
      <c r="N6" s="1">
        <f t="shared" si="0"/>
        <v>11070</v>
      </c>
      <c r="O6" s="1">
        <v>11070</v>
      </c>
    </row>
    <row r="7" spans="2:15" x14ac:dyDescent="0.35">
      <c r="D7" s="25"/>
      <c r="N7" s="1">
        <f t="shared" si="0"/>
        <v>1197</v>
      </c>
      <c r="O7" s="1">
        <v>1197</v>
      </c>
    </row>
    <row r="8" spans="2:15" x14ac:dyDescent="0.35">
      <c r="B8" s="1" t="s">
        <v>56</v>
      </c>
      <c r="D8" s="22" t="s">
        <v>134</v>
      </c>
      <c r="N8" s="1">
        <f t="shared" si="0"/>
        <v>9250</v>
      </c>
      <c r="O8" s="1">
        <v>9250</v>
      </c>
    </row>
    <row r="9" spans="2:15" x14ac:dyDescent="0.35">
      <c r="D9" s="25" t="s">
        <v>78</v>
      </c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meter!E24</f>
        <v>23</v>
      </c>
      <c r="C16" s="7"/>
      <c r="D16" s="7">
        <f>meter!F24</f>
        <v>25</v>
      </c>
      <c r="E16" s="28" t="s">
        <v>18</v>
      </c>
      <c r="F16" s="8">
        <f>D16-B16</f>
        <v>2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22</v>
      </c>
      <c r="F18" s="1">
        <f>meter!O24</f>
        <v>0</v>
      </c>
      <c r="H18" s="10"/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">
        <f>meter!I24</f>
        <v>300</v>
      </c>
      <c r="N20" s="1">
        <f t="shared" si="0"/>
        <v>10590</v>
      </c>
      <c r="O20" s="1">
        <v>10590</v>
      </c>
    </row>
    <row r="21" spans="2:15" x14ac:dyDescent="0.35">
      <c r="L21" s="32"/>
      <c r="M21" s="33"/>
      <c r="N21" s="1">
        <f t="shared" si="0"/>
        <v>22423</v>
      </c>
      <c r="O21" s="33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L23" s="33"/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28" t="s">
        <v>17</v>
      </c>
      <c r="F24" s="10">
        <f>meter!N24</f>
        <v>8000</v>
      </c>
      <c r="L24" s="12"/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f>meter!M24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x14ac:dyDescent="0.35">
      <c r="D28" s="1" t="s">
        <v>42</v>
      </c>
      <c r="E28" s="28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8300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E32" s="1"/>
      <c r="F32" s="10">
        <f>meter!T24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E34" s="1"/>
      <c r="F34" s="12">
        <f>F30-F32</f>
        <v>8300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E35" s="1"/>
      <c r="N35" s="1">
        <f t="shared" si="0"/>
        <v>10270</v>
      </c>
      <c r="O35" s="1">
        <v>10270</v>
      </c>
    </row>
    <row r="36" spans="1:18" ht="23.5" x14ac:dyDescent="0.55000000000000004">
      <c r="B36" s="13"/>
      <c r="D36" s="139" t="s">
        <v>235</v>
      </c>
      <c r="E36" s="1"/>
      <c r="L36" s="30"/>
      <c r="N36" s="1">
        <f t="shared" si="0"/>
        <v>10598</v>
      </c>
      <c r="O36" s="1">
        <v>10598</v>
      </c>
    </row>
    <row r="37" spans="1:18" x14ac:dyDescent="0.35">
      <c r="B37" s="13"/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</row>
    <row r="43" spans="1:18" x14ac:dyDescent="0.35">
      <c r="B43" s="4"/>
      <c r="E43" s="1"/>
    </row>
    <row r="44" spans="1:18" x14ac:dyDescent="0.35">
      <c r="B44" s="14"/>
      <c r="E44" s="1"/>
    </row>
    <row r="45" spans="1:18" x14ac:dyDescent="0.35">
      <c r="E45" s="1"/>
      <c r="G45" s="15"/>
      <c r="H45" s="15"/>
      <c r="I45" s="15"/>
    </row>
    <row r="46" spans="1:18" x14ac:dyDescent="0.35">
      <c r="A46" s="15"/>
      <c r="E46" s="1"/>
    </row>
    <row r="47" spans="1:18" x14ac:dyDescent="0.35">
      <c r="B47" s="14"/>
      <c r="E47" s="1"/>
    </row>
    <row r="48" spans="1:18" x14ac:dyDescent="0.35">
      <c r="B48" s="14"/>
      <c r="C48" s="15"/>
      <c r="D48" s="15"/>
      <c r="E48" s="15"/>
      <c r="F48" s="15"/>
    </row>
    <row r="49" spans="1:9" x14ac:dyDescent="0.35">
      <c r="B49" s="14"/>
      <c r="E49" s="1"/>
    </row>
    <row r="50" spans="1:9" x14ac:dyDescent="0.35">
      <c r="A50" s="13"/>
      <c r="B50" s="15"/>
      <c r="E50" s="1"/>
      <c r="G50" s="13"/>
      <c r="H50" s="13"/>
      <c r="I50" s="13"/>
    </row>
    <row r="51" spans="1:9" x14ac:dyDescent="0.35">
      <c r="A51" s="13"/>
      <c r="B51" s="4"/>
      <c r="E51" s="1"/>
    </row>
    <row r="52" spans="1:9" x14ac:dyDescent="0.35">
      <c r="A52" s="13"/>
      <c r="B52" s="13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6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IV55"/>
  <sheetViews>
    <sheetView topLeftCell="A20" zoomScale="60" workbookViewId="0">
      <selection activeCell="F45" sqref="F44:F45"/>
    </sheetView>
  </sheetViews>
  <sheetFormatPr defaultColWidth="9" defaultRowHeight="14.5" x14ac:dyDescent="0.35"/>
  <cols>
    <col min="1" max="1" width="5.54296875" style="1" customWidth="1"/>
    <col min="2" max="2" width="17" style="1" customWidth="1"/>
    <col min="3" max="3" width="0.1796875" style="1" customWidth="1"/>
    <col min="4" max="4" width="33.453125" style="1" customWidth="1"/>
    <col min="5" max="5" width="13.1796875" style="28" customWidth="1"/>
    <col min="6" max="6" width="15.1796875" style="1" customWidth="1"/>
    <col min="7" max="8" width="9.1796875" style="1" customWidth="1"/>
    <col min="9" max="9" width="9.269531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2" spans="2:15" ht="23.5" x14ac:dyDescent="0.55000000000000004">
      <c r="B2" s="2" t="s">
        <v>105</v>
      </c>
      <c r="D2" s="1" t="s">
        <v>164</v>
      </c>
      <c r="N2" s="1" t="s">
        <v>115</v>
      </c>
      <c r="O2" s="1" t="s">
        <v>114</v>
      </c>
    </row>
    <row r="3" spans="2:15" x14ac:dyDescent="0.35">
      <c r="B3" s="1" t="str">
        <f>'1A'!B2</f>
        <v>P.O BOX 9473-00200 NAIROBI</v>
      </c>
      <c r="N3" s="1">
        <f>O3-Q3</f>
        <v>10270</v>
      </c>
      <c r="O3" s="1">
        <v>10270</v>
      </c>
    </row>
    <row r="4" spans="2:15" ht="18.5" x14ac:dyDescent="0.45">
      <c r="B4" s="3" t="s">
        <v>0</v>
      </c>
      <c r="H4" s="1" t="s">
        <v>6</v>
      </c>
      <c r="I4" s="1">
        <f>'1A'!H3+22-1</f>
        <v>59</v>
      </c>
      <c r="J4" s="1">
        <f>'1A'!H3+22-1</f>
        <v>59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meter!B25</f>
        <v>RID WAH ABDULLAH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22" t="s">
        <v>135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ht="29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meter!E25</f>
        <v>14</v>
      </c>
      <c r="C16" s="7"/>
      <c r="D16" s="7">
        <f>meter!F25</f>
        <v>16</v>
      </c>
      <c r="E16" s="28" t="s">
        <v>18</v>
      </c>
      <c r="F16" s="8">
        <f>D16-B16</f>
        <v>2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22</v>
      </c>
      <c r="F18" s="1">
        <f>meter!O25</f>
        <v>774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">
        <f>meter!I25</f>
        <v>300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28" t="s">
        <v>17</v>
      </c>
      <c r="F24" s="10">
        <f>meter!N25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x14ac:dyDescent="0.35">
      <c r="D28" s="1" t="s">
        <v>79</v>
      </c>
      <c r="E28" s="28" t="s">
        <v>17</v>
      </c>
      <c r="F28" s="10">
        <f>IF(F18*4%*1&lt;0,0,F18*4%*1)</f>
        <v>30.96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9104.9599999999991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E32" s="1"/>
      <c r="F32" s="10">
        <f>meter!T25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E34" s="1"/>
      <c r="F34" s="12">
        <f>F30-F32</f>
        <v>9104.9599999999991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E35" s="1"/>
      <c r="N35" s="1">
        <f t="shared" si="0"/>
        <v>10270</v>
      </c>
      <c r="O35" s="1">
        <v>10270</v>
      </c>
    </row>
    <row r="36" spans="1:18" ht="23.5" x14ac:dyDescent="0.55000000000000004">
      <c r="B36" s="13"/>
      <c r="D36" s="139" t="s">
        <v>236</v>
      </c>
      <c r="E36" s="1"/>
      <c r="L36" s="30"/>
      <c r="N36" s="1">
        <f t="shared" si="0"/>
        <v>10598</v>
      </c>
      <c r="O36" s="1">
        <v>10598</v>
      </c>
    </row>
    <row r="37" spans="1:18" x14ac:dyDescent="0.35">
      <c r="B37" s="13"/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</row>
    <row r="43" spans="1:18" x14ac:dyDescent="0.35">
      <c r="B43" s="4"/>
      <c r="E43" s="1"/>
    </row>
    <row r="44" spans="1:18" x14ac:dyDescent="0.35">
      <c r="B44" s="14"/>
      <c r="E44" s="1"/>
    </row>
    <row r="45" spans="1:18" x14ac:dyDescent="0.35">
      <c r="B45" s="14"/>
      <c r="E45" s="1"/>
      <c r="G45" s="15"/>
      <c r="H45" s="15"/>
      <c r="I45" s="15"/>
    </row>
    <row r="46" spans="1:18" x14ac:dyDescent="0.35">
      <c r="A46" s="15"/>
      <c r="B46" s="14"/>
      <c r="E46" s="1"/>
    </row>
    <row r="47" spans="1:18" x14ac:dyDescent="0.35">
      <c r="B47" s="14"/>
      <c r="E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E49" s="1"/>
    </row>
    <row r="50" spans="1:9" x14ac:dyDescent="0.35">
      <c r="A50" s="13"/>
      <c r="B50" s="14"/>
      <c r="E50" s="1"/>
      <c r="G50" s="13"/>
      <c r="H50" s="13"/>
      <c r="I50" s="13"/>
    </row>
    <row r="51" spans="1:9" x14ac:dyDescent="0.35">
      <c r="A51" s="13"/>
      <c r="B51" s="4"/>
      <c r="E51" s="1"/>
    </row>
    <row r="52" spans="1:9" x14ac:dyDescent="0.35">
      <c r="A52" s="13"/>
      <c r="B52" s="13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7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V55"/>
  <sheetViews>
    <sheetView topLeftCell="A24" zoomScale="60" workbookViewId="0">
      <selection activeCell="F46" sqref="F44:F46"/>
    </sheetView>
  </sheetViews>
  <sheetFormatPr defaultColWidth="9" defaultRowHeight="14.5" x14ac:dyDescent="0.35"/>
  <cols>
    <col min="1" max="1" width="9.1796875" style="1" customWidth="1"/>
    <col min="2" max="2" width="24.54296875" style="1" hidden="1"/>
    <col min="3" max="3" width="9.1796875" style="1" customWidth="1"/>
    <col min="4" max="4" width="25.81640625" style="1" customWidth="1"/>
    <col min="5" max="5" width="5.453125" style="28" customWidth="1"/>
    <col min="6" max="6" width="17.453125" style="1" customWidth="1"/>
    <col min="7" max="7" width="0.1796875" style="1" customWidth="1"/>
    <col min="8" max="8" width="8.81640625" style="1" customWidth="1"/>
    <col min="9" max="9" width="9.26953125" style="1" customWidth="1"/>
    <col min="10" max="10" width="0.26953125" style="1" customWidth="1"/>
    <col min="11" max="11" width="9.1796875" style="1" customWidth="1"/>
    <col min="12" max="12" width="8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105</v>
      </c>
      <c r="D1" s="1" t="s">
        <v>164</v>
      </c>
    </row>
    <row r="2" spans="2:15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'1A'!H3+23-1</f>
        <v>60</v>
      </c>
      <c r="K4" s="1">
        <f>'1A'!H3+23-1</f>
        <v>60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meter!B26</f>
        <v xml:space="preserve">NASRA  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56</v>
      </c>
      <c r="D8" s="22" t="s">
        <v>136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meter!E26</f>
        <v>25</v>
      </c>
      <c r="C16" s="7"/>
      <c r="D16" s="7">
        <f>meter!F26</f>
        <v>28</v>
      </c>
      <c r="E16" s="28" t="s">
        <v>18</v>
      </c>
      <c r="F16" s="8">
        <f>D16-B16</f>
        <v>3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22</v>
      </c>
      <c r="F18" s="1">
        <f>meter!O26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">
        <f>meter!I26</f>
        <v>450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28" t="s">
        <v>17</v>
      </c>
      <c r="F24" s="10">
        <f>meter!N26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x14ac:dyDescent="0.35">
      <c r="D28" s="1" t="s">
        <v>107</v>
      </c>
      <c r="E28" s="28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8450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E32" s="1"/>
      <c r="F32" s="10">
        <f>meter!T26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E34" s="1"/>
      <c r="F34" s="12">
        <f>F30-F32</f>
        <v>8450</v>
      </c>
      <c r="N34" s="1">
        <f t="shared" si="0"/>
        <v>10934</v>
      </c>
      <c r="O34" s="1">
        <v>10934</v>
      </c>
      <c r="R34" s="1">
        <v>700</v>
      </c>
    </row>
    <row r="35" spans="1:18" ht="47" x14ac:dyDescent="0.55000000000000004">
      <c r="C35" s="9"/>
      <c r="D35" s="141" t="s">
        <v>237</v>
      </c>
      <c r="E35" s="1"/>
      <c r="N35" s="1">
        <f t="shared" si="0"/>
        <v>10270</v>
      </c>
      <c r="O35" s="1">
        <v>10270</v>
      </c>
    </row>
    <row r="36" spans="1:18" x14ac:dyDescent="0.35">
      <c r="B36" s="13" t="s">
        <v>52</v>
      </c>
      <c r="D36" s="6"/>
      <c r="E36" s="1"/>
      <c r="L36" s="30"/>
      <c r="N36" s="1">
        <f t="shared" si="0"/>
        <v>10598</v>
      </c>
      <c r="O36" s="1">
        <v>10598</v>
      </c>
    </row>
    <row r="37" spans="1:18" x14ac:dyDescent="0.35">
      <c r="B37" s="13" t="s">
        <v>106</v>
      </c>
      <c r="D37" s="6"/>
      <c r="E37" s="1"/>
      <c r="N37" s="1">
        <f t="shared" si="0"/>
        <v>8770</v>
      </c>
      <c r="O37" s="1">
        <v>8770</v>
      </c>
    </row>
    <row r="38" spans="1:18" x14ac:dyDescent="0.35">
      <c r="B38" s="13"/>
      <c r="D38" s="6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 t="s">
        <v>54</v>
      </c>
      <c r="D39" s="6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D40" s="6"/>
      <c r="E40" s="1"/>
    </row>
    <row r="41" spans="1:18" x14ac:dyDescent="0.35">
      <c r="B41" s="13" t="s">
        <v>51</v>
      </c>
      <c r="D41" s="6"/>
      <c r="E41" s="1"/>
    </row>
    <row r="42" spans="1:18" x14ac:dyDescent="0.35">
      <c r="B42" s="13" t="s">
        <v>72</v>
      </c>
      <c r="D42" s="6"/>
      <c r="E42" s="1"/>
    </row>
    <row r="43" spans="1:18" x14ac:dyDescent="0.35">
      <c r="B43" s="4" t="s">
        <v>103</v>
      </c>
      <c r="D43" s="6"/>
      <c r="E43" s="1"/>
    </row>
    <row r="44" spans="1:18" x14ac:dyDescent="0.35">
      <c r="B44" s="14"/>
      <c r="E44" s="1"/>
    </row>
    <row r="45" spans="1:18" x14ac:dyDescent="0.35">
      <c r="B45" s="14" t="s">
        <v>167</v>
      </c>
      <c r="E45" s="1"/>
      <c r="G45" s="15"/>
      <c r="H45" s="15"/>
      <c r="I45" s="15"/>
    </row>
    <row r="46" spans="1:18" x14ac:dyDescent="0.35">
      <c r="A46" s="15"/>
      <c r="B46" s="14" t="s">
        <v>168</v>
      </c>
      <c r="E46" s="1"/>
    </row>
    <row r="47" spans="1:18" x14ac:dyDescent="0.35">
      <c r="B47" s="14" t="s">
        <v>169</v>
      </c>
      <c r="E47" s="1"/>
    </row>
    <row r="48" spans="1:18" x14ac:dyDescent="0.35">
      <c r="B48" s="15" t="s">
        <v>55</v>
      </c>
      <c r="C48" s="15"/>
      <c r="D48" s="15"/>
      <c r="E48" s="15"/>
      <c r="F48" s="15"/>
    </row>
    <row r="49" spans="1:9" x14ac:dyDescent="0.35">
      <c r="B49" s="15" t="s">
        <v>13</v>
      </c>
      <c r="E49" s="1"/>
    </row>
    <row r="50" spans="1:9" x14ac:dyDescent="0.35">
      <c r="A50" s="13"/>
      <c r="B50" s="14" t="s">
        <v>170</v>
      </c>
      <c r="E50" s="1"/>
      <c r="G50" s="13"/>
      <c r="H50" s="13"/>
      <c r="I50" s="13"/>
    </row>
    <row r="51" spans="1:9" x14ac:dyDescent="0.35">
      <c r="A51" s="13"/>
      <c r="B51" s="4"/>
      <c r="E51" s="1"/>
    </row>
    <row r="52" spans="1:9" x14ac:dyDescent="0.35">
      <c r="A52" s="13"/>
      <c r="B52" s="13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68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V55"/>
  <sheetViews>
    <sheetView topLeftCell="A12" zoomScale="60" workbookViewId="0">
      <selection activeCell="F34" sqref="F34"/>
    </sheetView>
  </sheetViews>
  <sheetFormatPr defaultColWidth="9" defaultRowHeight="14.5" x14ac:dyDescent="0.35"/>
  <cols>
    <col min="1" max="1" width="9.1796875" style="1" customWidth="1"/>
    <col min="2" max="2" width="24.7265625" style="1" customWidth="1"/>
    <col min="3" max="3" width="9.1796875" style="1" customWidth="1"/>
    <col min="4" max="4" width="19.81640625" style="6" customWidth="1"/>
    <col min="5" max="5" width="13.1796875" style="28" customWidth="1"/>
    <col min="6" max="6" width="15.54296875" style="1" customWidth="1"/>
    <col min="7" max="8" width="9.1796875" style="1" customWidth="1"/>
    <col min="9" max="9" width="7.453125" style="1" customWidth="1"/>
    <col min="10" max="10" width="9.1796875" style="1" customWidth="1"/>
    <col min="11" max="11" width="8.7265625" style="1" customWidth="1"/>
    <col min="12" max="12" width="27" style="1" customWidth="1"/>
    <col min="13" max="15" width="9.1796875" style="1" customWidth="1"/>
    <col min="16" max="16" width="0.1796875" style="1" customWidth="1"/>
    <col min="17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164</v>
      </c>
    </row>
    <row r="2" spans="2:15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'1A'!H3+24-1</f>
        <v>61</v>
      </c>
      <c r="M4" s="1">
        <f>'1A'!H3+24-1</f>
        <v>61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34">
        <f>meter!B27</f>
        <v>0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35" t="s">
        <v>137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36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36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meter!E27</f>
        <v>28</v>
      </c>
      <c r="C16" s="7"/>
      <c r="D16" s="5">
        <f>meter!F27</f>
        <v>29</v>
      </c>
      <c r="E16" s="28" t="s">
        <v>18</v>
      </c>
      <c r="F16" s="8">
        <f>D16-B16</f>
        <v>1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6" t="s">
        <v>31</v>
      </c>
      <c r="E18" s="28" t="s">
        <v>22</v>
      </c>
      <c r="F18" s="10">
        <f>meter!O27</f>
        <v>484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6" t="s">
        <v>9</v>
      </c>
      <c r="E20" s="28" t="s">
        <v>17</v>
      </c>
      <c r="F20" s="1">
        <f>meter!I27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ht="29" x14ac:dyDescent="0.35">
      <c r="D22" s="6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6" t="s">
        <v>25</v>
      </c>
      <c r="E24" s="28" t="s">
        <v>17</v>
      </c>
      <c r="F24" s="10">
        <f>meter!N27</f>
        <v>7500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6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37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ht="29" x14ac:dyDescent="0.35">
      <c r="D28" s="6" t="s">
        <v>42</v>
      </c>
      <c r="E28" s="1" t="s">
        <v>17</v>
      </c>
      <c r="F28" s="10">
        <f>IF(F18*4%*1&lt;0,0,F18*4%*1)</f>
        <v>19.36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6" t="s">
        <v>11</v>
      </c>
      <c r="E30" s="1" t="s">
        <v>22</v>
      </c>
      <c r="F30" s="10">
        <f>SUM(F17:F29)</f>
        <v>8153.36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6" t="s">
        <v>34</v>
      </c>
      <c r="E32" s="1"/>
      <c r="F32" s="10">
        <f>meter!T27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6" t="s">
        <v>87</v>
      </c>
      <c r="E34" s="1"/>
      <c r="F34" s="12">
        <f>F30-F32</f>
        <v>8153.36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/>
      <c r="E35" s="1"/>
      <c r="N35" s="1">
        <f t="shared" si="0"/>
        <v>10270</v>
      </c>
      <c r="O35" s="1">
        <v>10270</v>
      </c>
    </row>
    <row r="36" spans="1:18" ht="70.5" x14ac:dyDescent="0.55000000000000004">
      <c r="B36" s="13"/>
      <c r="D36" s="141" t="s">
        <v>238</v>
      </c>
      <c r="E36" s="1"/>
      <c r="L36" s="30"/>
      <c r="N36" s="1">
        <f t="shared" si="0"/>
        <v>10598</v>
      </c>
      <c r="O36" s="1">
        <v>10598</v>
      </c>
    </row>
    <row r="37" spans="1:18" x14ac:dyDescent="0.35">
      <c r="B37" s="13"/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</row>
    <row r="43" spans="1:18" x14ac:dyDescent="0.35">
      <c r="B43" s="4"/>
      <c r="E43" s="1"/>
    </row>
    <row r="44" spans="1:18" x14ac:dyDescent="0.35">
      <c r="B44" s="14"/>
      <c r="D44" s="1"/>
      <c r="E44" s="1"/>
    </row>
    <row r="45" spans="1:18" x14ac:dyDescent="0.35">
      <c r="B45" s="14"/>
      <c r="D45" s="1"/>
      <c r="E45" s="1"/>
      <c r="G45" s="15"/>
      <c r="H45" s="15"/>
      <c r="I45" s="15"/>
    </row>
    <row r="46" spans="1:18" x14ac:dyDescent="0.35">
      <c r="A46" s="15"/>
      <c r="B46" s="14"/>
      <c r="D46" s="1"/>
      <c r="E46" s="1"/>
    </row>
    <row r="47" spans="1:18" x14ac:dyDescent="0.35">
      <c r="B47" s="14"/>
      <c r="D47" s="1"/>
      <c r="E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D49" s="1"/>
      <c r="E49" s="1"/>
    </row>
    <row r="50" spans="1:9" x14ac:dyDescent="0.35">
      <c r="A50" s="13"/>
      <c r="B50" s="14"/>
      <c r="D50" s="1"/>
      <c r="E50" s="1"/>
      <c r="G50" s="13"/>
      <c r="H50" s="13"/>
      <c r="I50" s="13"/>
    </row>
    <row r="51" spans="1:9" x14ac:dyDescent="0.35">
      <c r="A51" s="13"/>
      <c r="B51" s="4"/>
      <c r="D51" s="1"/>
      <c r="E51" s="1"/>
    </row>
    <row r="52" spans="1:9" x14ac:dyDescent="0.35">
      <c r="A52" s="13"/>
      <c r="B52" s="13"/>
      <c r="D52" s="1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7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V55"/>
  <sheetViews>
    <sheetView topLeftCell="A21" zoomScale="60" workbookViewId="0">
      <selection activeCell="H45" sqref="H45"/>
    </sheetView>
  </sheetViews>
  <sheetFormatPr defaultColWidth="9" defaultRowHeight="14.5" x14ac:dyDescent="0.35"/>
  <cols>
    <col min="1" max="1" width="9.1796875" style="1" customWidth="1"/>
    <col min="2" max="2" width="24" style="1" customWidth="1"/>
    <col min="3" max="3" width="0.54296875" style="1" customWidth="1"/>
    <col min="4" max="4" width="19.81640625" style="6" customWidth="1"/>
    <col min="5" max="5" width="13.1796875" style="28" customWidth="1"/>
    <col min="6" max="6" width="15.54296875" style="1" customWidth="1"/>
    <col min="7" max="7" width="7.26953125" style="1" customWidth="1"/>
    <col min="8" max="8" width="9.1796875" style="1" customWidth="1"/>
    <col min="9" max="9" width="9.26953125" style="1" customWidth="1"/>
    <col min="10" max="10" width="0.1796875" style="1" customWidth="1"/>
    <col min="11" max="11" width="9.1796875" style="1" customWidth="1"/>
    <col min="12" max="12" width="0.1796875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164</v>
      </c>
      <c r="H1" s="6"/>
    </row>
    <row r="2" spans="2:15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'1A'!H3+25-1</f>
        <v>62</v>
      </c>
      <c r="K4" s="1">
        <f>'1A'!H3+25-1</f>
        <v>62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34" t="str">
        <f>meter!B28</f>
        <v>SALIM ABDULL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56</v>
      </c>
      <c r="D8" s="35" t="s">
        <v>138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36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36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meter!E28</f>
        <v>35</v>
      </c>
      <c r="C16" s="7"/>
      <c r="D16" s="5">
        <f>meter!F28</f>
        <v>35</v>
      </c>
      <c r="E16" s="28" t="s">
        <v>18</v>
      </c>
      <c r="F16" s="8">
        <f>D16-B16</f>
        <v>0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6" t="s">
        <v>31</v>
      </c>
      <c r="E18" s="28" t="s">
        <v>22</v>
      </c>
      <c r="F18" s="1">
        <f>meter!O28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6" t="s">
        <v>9</v>
      </c>
      <c r="E20" s="28" t="s">
        <v>17</v>
      </c>
      <c r="F20" s="1">
        <f>meter!I28</f>
        <v>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ht="29" x14ac:dyDescent="0.35">
      <c r="D22" s="6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6" t="s">
        <v>25</v>
      </c>
      <c r="E24" s="28" t="s">
        <v>17</v>
      </c>
      <c r="F24" s="10">
        <f>meter!N28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6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37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ht="29" x14ac:dyDescent="0.35">
      <c r="D28" s="6" t="s">
        <v>42</v>
      </c>
      <c r="E28" s="28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6" t="s">
        <v>11</v>
      </c>
      <c r="E30" s="1" t="s">
        <v>22</v>
      </c>
      <c r="F30" s="10">
        <f>SUM(F17:F29)</f>
        <v>8000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6" t="s">
        <v>34</v>
      </c>
      <c r="E32" s="1"/>
      <c r="F32" s="10">
        <f>meter!T28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6" t="s">
        <v>87</v>
      </c>
      <c r="E34" s="1"/>
      <c r="F34" s="12">
        <f>F30-F32</f>
        <v>8000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E35" s="1"/>
      <c r="N35" s="1">
        <f t="shared" si="0"/>
        <v>10270</v>
      </c>
      <c r="O35" s="1">
        <v>10270</v>
      </c>
    </row>
    <row r="36" spans="1:18" x14ac:dyDescent="0.35">
      <c r="B36" s="13"/>
      <c r="E36" s="1"/>
      <c r="L36" s="30"/>
      <c r="N36" s="1">
        <f t="shared" si="0"/>
        <v>10598</v>
      </c>
      <c r="O36" s="1">
        <v>10598</v>
      </c>
    </row>
    <row r="37" spans="1:18" ht="70.5" x14ac:dyDescent="0.55000000000000004">
      <c r="B37" s="13"/>
      <c r="D37" s="141" t="s">
        <v>239</v>
      </c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</row>
    <row r="43" spans="1:18" x14ac:dyDescent="0.35">
      <c r="B43" s="4"/>
      <c r="E43" s="1"/>
    </row>
    <row r="44" spans="1:18" x14ac:dyDescent="0.35">
      <c r="B44" s="14"/>
      <c r="D44" s="1"/>
      <c r="E44" s="1"/>
    </row>
    <row r="45" spans="1:18" x14ac:dyDescent="0.35">
      <c r="B45" s="14"/>
      <c r="D45" s="1"/>
      <c r="E45" s="1"/>
      <c r="G45" s="15"/>
      <c r="H45" s="15"/>
      <c r="I45" s="15"/>
    </row>
    <row r="46" spans="1:18" x14ac:dyDescent="0.35">
      <c r="A46" s="15"/>
      <c r="B46" s="14"/>
      <c r="D46" s="1"/>
      <c r="E46" s="1"/>
    </row>
    <row r="47" spans="1:18" x14ac:dyDescent="0.35">
      <c r="B47" s="14"/>
      <c r="D47" s="1"/>
      <c r="E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D49" s="1"/>
      <c r="E49" s="1"/>
    </row>
    <row r="50" spans="1:9" x14ac:dyDescent="0.35">
      <c r="A50" s="13"/>
      <c r="B50" s="14"/>
      <c r="D50" s="1"/>
      <c r="E50" s="1"/>
      <c r="G50" s="13"/>
      <c r="H50" s="13"/>
      <c r="I50" s="13"/>
    </row>
    <row r="51" spans="1:9" x14ac:dyDescent="0.35">
      <c r="A51" s="13"/>
      <c r="B51" s="4"/>
      <c r="D51" s="1"/>
      <c r="E51" s="1"/>
    </row>
    <row r="52" spans="1:9" x14ac:dyDescent="0.35">
      <c r="A52" s="13"/>
      <c r="B52" s="13"/>
      <c r="D52" s="1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7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V55"/>
  <sheetViews>
    <sheetView topLeftCell="A18" zoomScale="60" workbookViewId="0">
      <selection activeCell="H51" sqref="H51"/>
    </sheetView>
  </sheetViews>
  <sheetFormatPr defaultColWidth="9" defaultRowHeight="14.5" x14ac:dyDescent="0.35"/>
  <cols>
    <col min="1" max="1" width="9.1796875" style="1" customWidth="1"/>
    <col min="2" max="2" width="23.453125" style="1" customWidth="1"/>
    <col min="3" max="3" width="0.1796875" style="1" customWidth="1"/>
    <col min="4" max="4" width="22.453125" style="6" customWidth="1"/>
    <col min="5" max="5" width="15.453125" style="28" customWidth="1"/>
    <col min="6" max="6" width="15.1796875" style="1" customWidth="1"/>
    <col min="7" max="7" width="2" style="1" customWidth="1"/>
    <col min="8" max="8" width="9.54296875" style="1" customWidth="1"/>
    <col min="9" max="9" width="9.26953125" style="1" customWidth="1"/>
    <col min="10" max="10" width="0.1796875" style="1" customWidth="1"/>
    <col min="11" max="11" width="0.54296875" style="1" customWidth="1"/>
    <col min="12" max="12" width="13.453125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31" x14ac:dyDescent="0.55000000000000004">
      <c r="B1" s="2" t="s">
        <v>105</v>
      </c>
      <c r="D1" s="6" t="s">
        <v>164</v>
      </c>
    </row>
    <row r="2" spans="2:15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'1A'!H3+27-1</f>
        <v>64</v>
      </c>
      <c r="L4" s="1">
        <f>'1A'!H3+27-1</f>
        <v>64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34" t="str">
        <f>meter!B29</f>
        <v>QATRA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35" t="s">
        <v>139</v>
      </c>
      <c r="N8" s="1">
        <f t="shared" si="0"/>
        <v>9250</v>
      </c>
      <c r="O8" s="1">
        <v>9250</v>
      </c>
    </row>
    <row r="9" spans="2:15" x14ac:dyDescent="0.35">
      <c r="D9" s="38"/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36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36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meter!E30</f>
        <v>20</v>
      </c>
      <c r="C16" s="7"/>
      <c r="D16" s="5">
        <f>meter!F30</f>
        <v>21</v>
      </c>
      <c r="E16" s="28" t="s">
        <v>18</v>
      </c>
      <c r="F16" s="8">
        <f>D16-B16</f>
        <v>1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6" t="s">
        <v>31</v>
      </c>
      <c r="E18" s="28" t="s">
        <v>22</v>
      </c>
      <c r="F18" s="10">
        <f>meter!O30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6" t="s">
        <v>9</v>
      </c>
      <c r="E20" s="28" t="s">
        <v>17</v>
      </c>
      <c r="F20" s="1">
        <f>meter!I30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6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6" t="s">
        <v>25</v>
      </c>
      <c r="E24" s="28" t="s">
        <v>17</v>
      </c>
      <c r="F24" s="10">
        <f>meter!N30</f>
        <v>7000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6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37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ht="29" x14ac:dyDescent="0.35">
      <c r="D28" s="6" t="s">
        <v>73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6" t="s">
        <v>11</v>
      </c>
      <c r="E30" s="1" t="s">
        <v>22</v>
      </c>
      <c r="F30" s="10">
        <f>SUM(F17:F29)</f>
        <v>7150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6" t="s">
        <v>34</v>
      </c>
      <c r="E32" s="1"/>
      <c r="F32" s="10">
        <f>meter!T30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6" t="s">
        <v>87</v>
      </c>
      <c r="E34" s="1"/>
      <c r="F34" s="12">
        <f>F30-F32</f>
        <v>7150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E35" s="1"/>
      <c r="N35" s="1">
        <f t="shared" si="0"/>
        <v>10270</v>
      </c>
      <c r="O35" s="1">
        <v>10270</v>
      </c>
    </row>
    <row r="36" spans="1:18" x14ac:dyDescent="0.35">
      <c r="B36" s="13"/>
      <c r="E36" s="1"/>
      <c r="L36" s="30"/>
      <c r="N36" s="1">
        <f t="shared" si="0"/>
        <v>10598</v>
      </c>
      <c r="O36" s="1">
        <v>10598</v>
      </c>
    </row>
    <row r="37" spans="1:18" ht="70.5" x14ac:dyDescent="0.55000000000000004">
      <c r="B37" s="13"/>
      <c r="D37" s="141" t="s">
        <v>240</v>
      </c>
      <c r="E37" s="1"/>
      <c r="N37" s="1">
        <f t="shared" si="0"/>
        <v>8770</v>
      </c>
      <c r="O37" s="1">
        <v>8770</v>
      </c>
    </row>
    <row r="38" spans="1:18" x14ac:dyDescent="0.35">
      <c r="B38" s="13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E40" s="1"/>
    </row>
    <row r="41" spans="1:18" x14ac:dyDescent="0.35">
      <c r="B41" s="13"/>
      <c r="E41" s="1"/>
    </row>
    <row r="42" spans="1:18" x14ac:dyDescent="0.35">
      <c r="B42" s="13"/>
      <c r="E42" s="1"/>
    </row>
    <row r="43" spans="1:18" x14ac:dyDescent="0.35">
      <c r="B43" s="4"/>
      <c r="E43" s="1"/>
    </row>
    <row r="44" spans="1:18" x14ac:dyDescent="0.35">
      <c r="B44" s="14"/>
      <c r="D44" s="1"/>
      <c r="E44" s="1"/>
    </row>
    <row r="45" spans="1:18" x14ac:dyDescent="0.35">
      <c r="B45" s="14"/>
      <c r="D45" s="1"/>
      <c r="E45" s="1"/>
      <c r="G45" s="15"/>
      <c r="H45" s="15"/>
      <c r="I45" s="15"/>
    </row>
    <row r="46" spans="1:18" x14ac:dyDescent="0.35">
      <c r="A46" s="15"/>
      <c r="B46" s="14"/>
      <c r="D46" s="1"/>
      <c r="E46" s="1"/>
    </row>
    <row r="47" spans="1:18" x14ac:dyDescent="0.35">
      <c r="B47" s="14"/>
      <c r="D47" s="1"/>
      <c r="E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D49" s="1"/>
      <c r="E49" s="1"/>
    </row>
    <row r="50" spans="1:9" x14ac:dyDescent="0.35">
      <c r="A50" s="13"/>
      <c r="B50" s="14"/>
      <c r="D50" s="1"/>
      <c r="E50" s="1"/>
      <c r="G50" s="13"/>
      <c r="H50" s="13"/>
      <c r="I50" s="13"/>
    </row>
    <row r="51" spans="1:9" x14ac:dyDescent="0.35">
      <c r="A51" s="13"/>
      <c r="B51" s="4"/>
      <c r="D51" s="1"/>
      <c r="E51" s="1"/>
    </row>
    <row r="52" spans="1:9" x14ac:dyDescent="0.35">
      <c r="A52" s="13"/>
      <c r="B52" s="13"/>
      <c r="D52" s="1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6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V55"/>
  <sheetViews>
    <sheetView topLeftCell="A21" zoomScale="60" workbookViewId="0">
      <selection activeCell="F49" sqref="F47:F49"/>
    </sheetView>
  </sheetViews>
  <sheetFormatPr defaultColWidth="9" defaultRowHeight="14.5" x14ac:dyDescent="0.35"/>
  <cols>
    <col min="1" max="1" width="9.1796875" style="1" customWidth="1"/>
    <col min="2" max="2" width="18.26953125" style="1" customWidth="1"/>
    <col min="3" max="3" width="0.54296875" style="1" customWidth="1"/>
    <col min="4" max="4" width="27" style="1" customWidth="1"/>
    <col min="5" max="5" width="13.1796875" style="28" customWidth="1"/>
    <col min="6" max="6" width="15" style="1" customWidth="1"/>
    <col min="7" max="7" width="0.1796875" style="1" customWidth="1"/>
    <col min="8" max="10" width="9.1796875" style="1" customWidth="1"/>
    <col min="11" max="11" width="0.1796875" style="1" customWidth="1"/>
    <col min="12" max="12" width="11.1796875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8" ht="23.5" x14ac:dyDescent="0.55000000000000004">
      <c r="B1" s="2" t="s">
        <v>164</v>
      </c>
    </row>
    <row r="2" spans="2:18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2:18" ht="18.5" x14ac:dyDescent="0.45">
      <c r="B3" s="3" t="s">
        <v>0</v>
      </c>
      <c r="N3" s="1">
        <f>O3-Q3</f>
        <v>10270</v>
      </c>
      <c r="O3" s="1">
        <v>10270</v>
      </c>
    </row>
    <row r="4" spans="2:18" x14ac:dyDescent="0.35">
      <c r="H4" s="1" t="s">
        <v>6</v>
      </c>
      <c r="I4" s="1">
        <f>'1A'!H3+26-1</f>
        <v>63</v>
      </c>
      <c r="L4" s="1">
        <f>'1A'!H3+26-1</f>
        <v>63</v>
      </c>
      <c r="N4" s="1">
        <f t="shared" ref="N4:N38" si="0">O4-Q4</f>
        <v>10304</v>
      </c>
      <c r="O4" s="1">
        <v>10304</v>
      </c>
    </row>
    <row r="5" spans="2:18" x14ac:dyDescent="0.35">
      <c r="N5" s="1">
        <f t="shared" si="0"/>
        <v>10988</v>
      </c>
      <c r="O5" s="1">
        <v>10988</v>
      </c>
    </row>
    <row r="6" spans="2:18" x14ac:dyDescent="0.35">
      <c r="B6" s="1" t="s">
        <v>7</v>
      </c>
      <c r="D6" s="4" t="str">
        <f>meter!B30</f>
        <v>BAHATI</v>
      </c>
      <c r="N6" s="1">
        <f t="shared" si="0"/>
        <v>11070</v>
      </c>
      <c r="O6" s="1">
        <v>11070</v>
      </c>
    </row>
    <row r="7" spans="2:18" x14ac:dyDescent="0.35">
      <c r="N7" s="1">
        <f t="shared" si="0"/>
        <v>1197</v>
      </c>
      <c r="O7" s="1">
        <v>1197</v>
      </c>
    </row>
    <row r="8" spans="2:18" x14ac:dyDescent="0.35">
      <c r="B8" s="1" t="s">
        <v>57</v>
      </c>
      <c r="D8" s="22" t="s">
        <v>140</v>
      </c>
      <c r="N8" s="1">
        <f t="shared" si="0"/>
        <v>9250</v>
      </c>
      <c r="O8" s="1">
        <v>9250</v>
      </c>
    </row>
    <row r="9" spans="2:18" x14ac:dyDescent="0.35">
      <c r="N9" s="1">
        <f t="shared" si="0"/>
        <v>8770</v>
      </c>
      <c r="O9" s="1">
        <v>8770</v>
      </c>
    </row>
    <row r="10" spans="2:18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  <c r="R10" s="1">
        <v>10500</v>
      </c>
    </row>
    <row r="11" spans="2:18" x14ac:dyDescent="0.35">
      <c r="N11" s="1">
        <f t="shared" si="0"/>
        <v>10910</v>
      </c>
      <c r="O11" s="1">
        <v>10910</v>
      </c>
      <c r="R11" s="1">
        <v>4200</v>
      </c>
    </row>
    <row r="12" spans="2:18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  <c r="R12" s="1">
        <f>R10-R11</f>
        <v>6300</v>
      </c>
    </row>
    <row r="13" spans="2:18" x14ac:dyDescent="0.35">
      <c r="N13" s="1">
        <f t="shared" si="0"/>
        <v>12190</v>
      </c>
      <c r="O13" s="1">
        <v>12190</v>
      </c>
    </row>
    <row r="14" spans="2:18" x14ac:dyDescent="0.35">
      <c r="N14" s="1">
        <f t="shared" si="0"/>
        <v>11070</v>
      </c>
      <c r="O14" s="1">
        <v>11070</v>
      </c>
    </row>
    <row r="15" spans="2:18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8" x14ac:dyDescent="0.35">
      <c r="B16" s="7">
        <f>meter!E29</f>
        <v>28</v>
      </c>
      <c r="C16" s="7"/>
      <c r="D16" s="7">
        <f>meter!F29</f>
        <v>32</v>
      </c>
      <c r="E16" s="28" t="s">
        <v>18</v>
      </c>
      <c r="F16" s="8">
        <f>D16-B16</f>
        <v>4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22</v>
      </c>
      <c r="F18" s="10">
        <f>meter!O29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">
        <f>meter!I29</f>
        <v>600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28" t="s">
        <v>17</v>
      </c>
      <c r="F24" s="10">
        <f>meter!N29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22</v>
      </c>
      <c r="F27" s="10"/>
      <c r="N27" s="1">
        <f t="shared" si="0"/>
        <v>11393</v>
      </c>
      <c r="O27" s="1">
        <v>11393</v>
      </c>
    </row>
    <row r="28" spans="2:15" x14ac:dyDescent="0.35">
      <c r="D28" s="1" t="s">
        <v>82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8600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E32" s="1"/>
      <c r="F32" s="10">
        <f>meter!T29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E34" s="1"/>
      <c r="F34" s="12">
        <f>F30-F32</f>
        <v>8600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D35" s="6"/>
      <c r="E35" s="1"/>
      <c r="N35" s="1">
        <f t="shared" si="0"/>
        <v>10270</v>
      </c>
      <c r="O35" s="1">
        <v>10270</v>
      </c>
    </row>
    <row r="36" spans="1:18" x14ac:dyDescent="0.35">
      <c r="B36" s="13"/>
      <c r="D36" s="6"/>
      <c r="E36" s="1"/>
      <c r="L36" s="30"/>
      <c r="N36" s="1">
        <f t="shared" si="0"/>
        <v>10598</v>
      </c>
      <c r="O36" s="1">
        <v>10598</v>
      </c>
    </row>
    <row r="37" spans="1:18" ht="47" x14ac:dyDescent="0.55000000000000004">
      <c r="B37" s="13"/>
      <c r="D37" s="141" t="s">
        <v>241</v>
      </c>
      <c r="E37" s="1"/>
      <c r="N37" s="1">
        <f t="shared" si="0"/>
        <v>8770</v>
      </c>
      <c r="O37" s="1">
        <v>8770</v>
      </c>
    </row>
    <row r="38" spans="1:18" x14ac:dyDescent="0.35">
      <c r="B38" s="13"/>
      <c r="D38" s="6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D39" s="6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D40" s="6"/>
      <c r="E40" s="1"/>
    </row>
    <row r="41" spans="1:18" x14ac:dyDescent="0.35">
      <c r="B41" s="13"/>
      <c r="D41" s="6"/>
      <c r="E41" s="1"/>
    </row>
    <row r="42" spans="1:18" x14ac:dyDescent="0.35">
      <c r="B42" s="13"/>
      <c r="D42" s="6"/>
      <c r="E42" s="1"/>
    </row>
    <row r="43" spans="1:18" x14ac:dyDescent="0.35">
      <c r="B43" s="4"/>
      <c r="D43" s="6"/>
      <c r="E43" s="1"/>
    </row>
    <row r="44" spans="1:18" x14ac:dyDescent="0.35">
      <c r="B44" s="14"/>
      <c r="E44" s="1"/>
    </row>
    <row r="45" spans="1:18" x14ac:dyDescent="0.35">
      <c r="B45" s="14"/>
      <c r="E45" s="1"/>
      <c r="G45" s="15"/>
      <c r="H45" s="15"/>
      <c r="I45" s="15"/>
    </row>
    <row r="46" spans="1:18" x14ac:dyDescent="0.35">
      <c r="A46" s="15"/>
      <c r="B46" s="14"/>
      <c r="E46" s="1"/>
    </row>
    <row r="47" spans="1:18" x14ac:dyDescent="0.35">
      <c r="B47" s="14"/>
      <c r="E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E49" s="1"/>
    </row>
    <row r="50" spans="1:9" x14ac:dyDescent="0.35">
      <c r="A50" s="13"/>
      <c r="B50" s="14"/>
      <c r="E50" s="1"/>
      <c r="G50" s="13"/>
      <c r="H50" s="13"/>
      <c r="I50" s="13"/>
    </row>
    <row r="51" spans="1:9" x14ac:dyDescent="0.35">
      <c r="A51" s="13"/>
      <c r="B51" s="4"/>
      <c r="E51" s="1"/>
    </row>
    <row r="52" spans="1:9" x14ac:dyDescent="0.35">
      <c r="A52" s="13"/>
      <c r="B52" s="13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7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V55"/>
  <sheetViews>
    <sheetView topLeftCell="A14" zoomScale="60" workbookViewId="0">
      <selection activeCell="D36" sqref="D36"/>
    </sheetView>
  </sheetViews>
  <sheetFormatPr defaultColWidth="9" defaultRowHeight="14.5" x14ac:dyDescent="0.35"/>
  <cols>
    <col min="1" max="1" width="9.1796875" style="1" customWidth="1"/>
    <col min="2" max="2" width="18" style="1" customWidth="1"/>
    <col min="3" max="3" width="0.26953125" style="1" customWidth="1"/>
    <col min="4" max="4" width="19.81640625" style="1" customWidth="1"/>
    <col min="5" max="5" width="13.1796875" style="28" customWidth="1"/>
    <col min="6" max="6" width="16.26953125" style="1" customWidth="1"/>
    <col min="7" max="7" width="0.54296875" style="1" customWidth="1"/>
    <col min="8" max="8" width="9.1796875" style="1" customWidth="1"/>
    <col min="9" max="9" width="8.26953125" style="1" customWidth="1"/>
    <col min="10" max="10" width="8.7265625" style="1" customWidth="1"/>
    <col min="11" max="11" width="9.1796875" style="1" customWidth="1"/>
    <col min="12" max="12" width="14.453125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164</v>
      </c>
    </row>
    <row r="2" spans="2:15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F4" s="1" t="s">
        <v>6</v>
      </c>
      <c r="H4" s="1">
        <f>'1A'!H3+28-1</f>
        <v>65</v>
      </c>
      <c r="I4" s="1">
        <f>'1A'!H3+28-1</f>
        <v>65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4" t="str">
        <f>meter!B31</f>
        <v>ABDUL</v>
      </c>
      <c r="I6" s="10"/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22" t="s">
        <v>141</v>
      </c>
      <c r="N8" s="1">
        <f t="shared" si="0"/>
        <v>9250</v>
      </c>
      <c r="O8" s="1">
        <v>9250</v>
      </c>
    </row>
    <row r="9" spans="2:15" x14ac:dyDescent="0.35">
      <c r="D9" s="25"/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1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19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meter!E31</f>
        <v>29</v>
      </c>
      <c r="C16" s="7"/>
      <c r="D16" s="7">
        <f>meter!F31</f>
        <v>30</v>
      </c>
      <c r="E16" s="28" t="s">
        <v>18</v>
      </c>
      <c r="F16" s="8">
        <f>D16-B16</f>
        <v>1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1" t="s">
        <v>31</v>
      </c>
      <c r="E18" s="28" t="s">
        <v>22</v>
      </c>
      <c r="F18" s="10">
        <f>meter!O31</f>
        <v>900</v>
      </c>
      <c r="N18" s="1">
        <f t="shared" si="0"/>
        <v>10430</v>
      </c>
      <c r="O18" s="1">
        <v>10430</v>
      </c>
    </row>
    <row r="19" spans="2:15" ht="15.5" x14ac:dyDescent="0.35">
      <c r="B19" s="9"/>
      <c r="F19" s="1">
        <v>0</v>
      </c>
      <c r="N19" s="1">
        <f t="shared" si="0"/>
        <v>11831</v>
      </c>
      <c r="O19" s="1">
        <v>11831</v>
      </c>
    </row>
    <row r="20" spans="2:15" x14ac:dyDescent="0.35">
      <c r="D20" s="1" t="s">
        <v>9</v>
      </c>
      <c r="E20" s="28" t="s">
        <v>17</v>
      </c>
      <c r="F20" s="1">
        <f>meter!I31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1" t="s">
        <v>80</v>
      </c>
      <c r="E22" s="28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F23" s="1">
        <v>0</v>
      </c>
      <c r="N23" s="1">
        <f t="shared" si="0"/>
        <v>10162</v>
      </c>
      <c r="O23" s="1">
        <v>10162</v>
      </c>
    </row>
    <row r="24" spans="2:15" x14ac:dyDescent="0.35">
      <c r="D24" s="1" t="s">
        <v>25</v>
      </c>
      <c r="E24" s="28" t="s">
        <v>17</v>
      </c>
      <c r="F24" s="10">
        <f>meter!N31</f>
        <v>7000</v>
      </c>
      <c r="N24" s="1">
        <f t="shared" si="0"/>
        <v>10270</v>
      </c>
      <c r="O24" s="1">
        <v>10270</v>
      </c>
    </row>
    <row r="25" spans="2:15" x14ac:dyDescent="0.35">
      <c r="F25" s="10">
        <v>0</v>
      </c>
      <c r="N25" s="1">
        <f t="shared" si="0"/>
        <v>11070</v>
      </c>
      <c r="O25" s="1">
        <v>11070</v>
      </c>
    </row>
    <row r="26" spans="2:15" x14ac:dyDescent="0.35">
      <c r="D26" s="1" t="str">
        <f>'1A'!C25</f>
        <v>SECURITY</v>
      </c>
      <c r="E26" s="28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11" t="s">
        <v>117</v>
      </c>
      <c r="E27" s="29" t="s">
        <v>17</v>
      </c>
      <c r="F27" s="10"/>
      <c r="N27" s="1">
        <f t="shared" si="0"/>
        <v>11393</v>
      </c>
      <c r="O27" s="1">
        <v>11393</v>
      </c>
    </row>
    <row r="28" spans="2:15" x14ac:dyDescent="0.35">
      <c r="D28" s="1" t="s">
        <v>42</v>
      </c>
      <c r="E28" s="28" t="s">
        <v>17</v>
      </c>
      <c r="F28" s="10">
        <f>IF(F18*4%*1&lt;0,0,F18*4%*1)</f>
        <v>36</v>
      </c>
      <c r="N28" s="1">
        <f t="shared" si="0"/>
        <v>10802</v>
      </c>
      <c r="O28" s="1">
        <v>10802</v>
      </c>
    </row>
    <row r="29" spans="2:15" x14ac:dyDescent="0.35">
      <c r="F29" s="10">
        <v>0</v>
      </c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1" t="s">
        <v>11</v>
      </c>
      <c r="E30" s="1" t="s">
        <v>22</v>
      </c>
      <c r="F30" s="10">
        <f>SUM(F17:F29)</f>
        <v>8086</v>
      </c>
      <c r="H30" s="12"/>
      <c r="N30" s="1">
        <f t="shared" si="0"/>
        <v>9570</v>
      </c>
      <c r="O30" s="1">
        <v>9570</v>
      </c>
    </row>
    <row r="31" spans="2:15" x14ac:dyDescent="0.35">
      <c r="E31" s="1"/>
      <c r="F31" s="10"/>
      <c r="N31" s="1">
        <f t="shared" si="0"/>
        <v>11390</v>
      </c>
      <c r="O31" s="1">
        <v>11390</v>
      </c>
    </row>
    <row r="32" spans="2:15" x14ac:dyDescent="0.35">
      <c r="D32" s="1" t="s">
        <v>34</v>
      </c>
      <c r="E32" s="1"/>
      <c r="F32" s="10">
        <f>meter!T31</f>
        <v>0</v>
      </c>
      <c r="N32" s="1">
        <f t="shared" si="0"/>
        <v>10750</v>
      </c>
      <c r="O32" s="1">
        <v>10750</v>
      </c>
    </row>
    <row r="33" spans="1:18" x14ac:dyDescent="0.35">
      <c r="E33" s="1"/>
      <c r="F33" s="10"/>
      <c r="N33" s="1">
        <f t="shared" si="0"/>
        <v>11732</v>
      </c>
      <c r="O33" s="1">
        <v>11732</v>
      </c>
    </row>
    <row r="34" spans="1:18" x14ac:dyDescent="0.35">
      <c r="D34" s="1" t="s">
        <v>87</v>
      </c>
      <c r="E34" s="1"/>
      <c r="F34" s="12">
        <f>F30-F32</f>
        <v>8086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D35" s="6"/>
      <c r="E35" s="1"/>
      <c r="N35" s="1">
        <f t="shared" si="0"/>
        <v>10270</v>
      </c>
      <c r="O35" s="1">
        <v>10270</v>
      </c>
    </row>
    <row r="36" spans="1:18" ht="70.5" x14ac:dyDescent="0.55000000000000004">
      <c r="B36" s="13"/>
      <c r="D36" s="141" t="s">
        <v>242</v>
      </c>
      <c r="E36" s="1"/>
      <c r="L36" s="30"/>
      <c r="N36" s="1">
        <f t="shared" si="0"/>
        <v>10598</v>
      </c>
      <c r="O36" s="1">
        <v>10598</v>
      </c>
    </row>
    <row r="37" spans="1:18" x14ac:dyDescent="0.35">
      <c r="B37" s="13"/>
      <c r="D37" s="6"/>
      <c r="E37" s="1"/>
      <c r="N37" s="1">
        <f t="shared" si="0"/>
        <v>8770</v>
      </c>
      <c r="O37" s="1">
        <v>8770</v>
      </c>
    </row>
    <row r="38" spans="1:18" x14ac:dyDescent="0.35">
      <c r="B38" s="13"/>
      <c r="D38" s="6"/>
      <c r="E38" s="1"/>
      <c r="K38" s="30"/>
      <c r="N38" s="1">
        <f t="shared" si="0"/>
        <v>8770</v>
      </c>
      <c r="O38" s="1">
        <v>8770</v>
      </c>
    </row>
    <row r="39" spans="1:18" x14ac:dyDescent="0.35">
      <c r="B39" s="13"/>
      <c r="D39" s="6"/>
      <c r="E39" s="1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D40" s="6"/>
      <c r="E40" s="1"/>
    </row>
    <row r="41" spans="1:18" x14ac:dyDescent="0.35">
      <c r="B41" s="13"/>
      <c r="D41" s="6"/>
      <c r="E41" s="1"/>
    </row>
    <row r="42" spans="1:18" x14ac:dyDescent="0.35">
      <c r="B42" s="13"/>
      <c r="D42" s="6"/>
      <c r="E42" s="1"/>
    </row>
    <row r="43" spans="1:18" x14ac:dyDescent="0.35">
      <c r="B43" s="4"/>
      <c r="D43" s="6"/>
      <c r="E43" s="1"/>
    </row>
    <row r="44" spans="1:18" x14ac:dyDescent="0.35">
      <c r="B44" s="14"/>
      <c r="E44" s="1"/>
    </row>
    <row r="45" spans="1:18" x14ac:dyDescent="0.35">
      <c r="B45" s="14"/>
      <c r="E45" s="1"/>
      <c r="G45" s="15"/>
      <c r="H45" s="15"/>
      <c r="I45" s="15"/>
    </row>
    <row r="46" spans="1:18" x14ac:dyDescent="0.35">
      <c r="A46" s="15"/>
      <c r="B46" s="14"/>
      <c r="E46" s="1"/>
    </row>
    <row r="47" spans="1:18" x14ac:dyDescent="0.35">
      <c r="B47" s="14"/>
      <c r="E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E49" s="1"/>
    </row>
    <row r="50" spans="1:9" x14ac:dyDescent="0.35">
      <c r="A50" s="13"/>
      <c r="B50" s="14"/>
      <c r="E50" s="1"/>
      <c r="G50" s="13"/>
      <c r="H50" s="13"/>
      <c r="I50" s="13"/>
    </row>
    <row r="51" spans="1:9" x14ac:dyDescent="0.35">
      <c r="A51" s="13"/>
      <c r="B51" s="4"/>
      <c r="E51" s="1"/>
    </row>
    <row r="52" spans="1:9" x14ac:dyDescent="0.35">
      <c r="A52" s="13"/>
      <c r="B52" s="13"/>
      <c r="E52" s="1"/>
    </row>
    <row r="53" spans="1:9" x14ac:dyDescent="0.35">
      <c r="A53" s="13"/>
      <c r="B53" s="13"/>
      <c r="C53" s="13"/>
      <c r="D53" s="13"/>
      <c r="E53" s="13"/>
      <c r="F53" s="13"/>
    </row>
    <row r="54" spans="1:9" x14ac:dyDescent="0.35">
      <c r="E54" s="1"/>
    </row>
    <row r="55" spans="1:9" x14ac:dyDescent="0.35">
      <c r="E55" s="1"/>
    </row>
  </sheetData>
  <pageMargins left="0.7" right="0.7" top="0.75" bottom="0.75" header="0.3" footer="0.3"/>
  <pageSetup paperSize="9" scale="7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V53"/>
  <sheetViews>
    <sheetView topLeftCell="A21" zoomScale="60" workbookViewId="0">
      <selection activeCell="F42" sqref="F42"/>
    </sheetView>
  </sheetViews>
  <sheetFormatPr defaultColWidth="9" defaultRowHeight="14.5" x14ac:dyDescent="0.35"/>
  <cols>
    <col min="1" max="1" width="9.1796875" style="1" customWidth="1"/>
    <col min="2" max="2" width="18.7265625" style="1" customWidth="1"/>
    <col min="3" max="3" width="0.1796875" style="1" customWidth="1"/>
    <col min="4" max="4" width="21.54296875" style="6" customWidth="1"/>
    <col min="5" max="5" width="13.1796875" style="1" customWidth="1"/>
    <col min="6" max="6" width="14.7265625" style="1" customWidth="1"/>
    <col min="7" max="8" width="9.1796875" style="1" customWidth="1"/>
    <col min="9" max="9" width="9.269531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164</v>
      </c>
    </row>
    <row r="2" spans="2:15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'1A'!H3+30-1</f>
        <v>67</v>
      </c>
      <c r="J4" s="1">
        <f>'1A'!H3+30-1</f>
        <v>67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34" t="str">
        <f>meter!B33</f>
        <v>ABDIAZIZ ABDI</v>
      </c>
      <c r="N6" s="1">
        <f t="shared" si="0"/>
        <v>11070</v>
      </c>
      <c r="O6" s="1">
        <v>11070</v>
      </c>
    </row>
    <row r="7" spans="2:15" x14ac:dyDescent="0.35">
      <c r="D7" s="34"/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35" t="s">
        <v>142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3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36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meter!E33</f>
        <v>30</v>
      </c>
      <c r="C16" s="7"/>
      <c r="D16" s="5">
        <f>meter!F33</f>
        <v>31</v>
      </c>
      <c r="E16" s="7" t="s">
        <v>18</v>
      </c>
      <c r="F16" s="8">
        <f>D16-B16</f>
        <v>1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6" t="s">
        <v>31</v>
      </c>
      <c r="E18" s="1" t="s">
        <v>22</v>
      </c>
      <c r="F18" s="1">
        <f>meter!O32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6" t="s">
        <v>9</v>
      </c>
      <c r="E20" s="1" t="s">
        <v>17</v>
      </c>
      <c r="F20" s="1">
        <f>meter!I33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6" t="s">
        <v>80</v>
      </c>
      <c r="E22" s="1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6" t="s">
        <v>25</v>
      </c>
      <c r="E24" s="1" t="s">
        <v>17</v>
      </c>
      <c r="F24" s="10">
        <f>meter!N33</f>
        <v>7000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6" t="str">
        <f>'1A'!C25</f>
        <v>SECURITY</v>
      </c>
      <c r="E26" s="1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37" t="s">
        <v>117</v>
      </c>
      <c r="E27" s="11" t="s">
        <v>22</v>
      </c>
      <c r="F27" s="10"/>
      <c r="N27" s="1">
        <f t="shared" si="0"/>
        <v>11393</v>
      </c>
      <c r="O27" s="1">
        <v>11393</v>
      </c>
    </row>
    <row r="28" spans="2:15" ht="29" x14ac:dyDescent="0.35">
      <c r="D28" s="6" t="s">
        <v>83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6" t="s">
        <v>11</v>
      </c>
      <c r="E30" s="1" t="s">
        <v>22</v>
      </c>
      <c r="F30" s="10">
        <f>SUM(F17:F29)</f>
        <v>7150</v>
      </c>
      <c r="H30" s="12"/>
      <c r="N30" s="1">
        <f t="shared" si="0"/>
        <v>9570</v>
      </c>
      <c r="O30" s="1">
        <v>9570</v>
      </c>
    </row>
    <row r="31" spans="2:15" x14ac:dyDescent="0.35">
      <c r="F31" s="10"/>
      <c r="N31" s="1">
        <f t="shared" si="0"/>
        <v>11390</v>
      </c>
      <c r="O31" s="1">
        <v>11390</v>
      </c>
    </row>
    <row r="32" spans="2:15" x14ac:dyDescent="0.35">
      <c r="D32" s="6" t="s">
        <v>34</v>
      </c>
      <c r="F32" s="10">
        <f>meter!T33</f>
        <v>0</v>
      </c>
      <c r="N32" s="1">
        <f t="shared" si="0"/>
        <v>10750</v>
      </c>
      <c r="O32" s="1">
        <v>10750</v>
      </c>
    </row>
    <row r="33" spans="1:18" x14ac:dyDescent="0.35">
      <c r="F33" s="10"/>
      <c r="N33" s="1">
        <f t="shared" si="0"/>
        <v>11732</v>
      </c>
      <c r="O33" s="1">
        <v>11732</v>
      </c>
    </row>
    <row r="34" spans="1:18" x14ac:dyDescent="0.35">
      <c r="D34" s="6" t="s">
        <v>87</v>
      </c>
      <c r="F34" s="12">
        <f>F30-F32</f>
        <v>7150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N35" s="1">
        <f t="shared" si="0"/>
        <v>10270</v>
      </c>
      <c r="O35" s="1">
        <v>10270</v>
      </c>
    </row>
    <row r="36" spans="1:18" ht="70.5" x14ac:dyDescent="0.55000000000000004">
      <c r="B36" s="13"/>
      <c r="D36" s="141" t="s">
        <v>243</v>
      </c>
      <c r="L36" s="30"/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x14ac:dyDescent="0.35">
      <c r="B38" s="13"/>
      <c r="K38" s="30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</row>
    <row r="43" spans="1:18" x14ac:dyDescent="0.35">
      <c r="B43" s="4"/>
    </row>
    <row r="44" spans="1:18" x14ac:dyDescent="0.35">
      <c r="B44" s="14"/>
      <c r="D44" s="1"/>
    </row>
    <row r="45" spans="1:18" x14ac:dyDescent="0.35">
      <c r="B45" s="14"/>
      <c r="D45" s="1"/>
      <c r="G45" s="15"/>
      <c r="H45" s="15"/>
      <c r="I45" s="15"/>
    </row>
    <row r="46" spans="1:18" x14ac:dyDescent="0.35">
      <c r="A46" s="15"/>
      <c r="B46" s="14"/>
      <c r="D46" s="1"/>
    </row>
    <row r="47" spans="1:18" x14ac:dyDescent="0.35">
      <c r="B47" s="14"/>
      <c r="D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D49" s="1"/>
    </row>
    <row r="50" spans="1:9" x14ac:dyDescent="0.35">
      <c r="A50" s="13"/>
      <c r="B50" s="14"/>
      <c r="D50" s="1"/>
      <c r="G50" s="13"/>
      <c r="H50" s="13"/>
      <c r="I50" s="13"/>
    </row>
    <row r="51" spans="1:9" x14ac:dyDescent="0.35">
      <c r="A51" s="13"/>
      <c r="B51" s="4"/>
      <c r="D51" s="1"/>
    </row>
    <row r="52" spans="1:9" x14ac:dyDescent="0.35">
      <c r="A52" s="13"/>
      <c r="B52" s="13"/>
      <c r="D52" s="1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74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V53"/>
  <sheetViews>
    <sheetView topLeftCell="A19" zoomScale="60" workbookViewId="0">
      <selection activeCell="G45" sqref="G41:G45"/>
    </sheetView>
  </sheetViews>
  <sheetFormatPr defaultColWidth="9" defaultRowHeight="14.5" x14ac:dyDescent="0.35"/>
  <cols>
    <col min="1" max="1" width="9.1796875" style="1" customWidth="1"/>
    <col min="2" max="2" width="21.7265625" style="1" customWidth="1"/>
    <col min="3" max="3" width="9.1796875" style="1" hidden="1" customWidth="1"/>
    <col min="4" max="4" width="19.81640625" style="6" customWidth="1"/>
    <col min="5" max="5" width="0.453125" style="1" hidden="1" customWidth="1"/>
    <col min="6" max="6" width="15.453125" style="1" customWidth="1"/>
    <col min="7" max="8" width="9.1796875" style="1" customWidth="1"/>
    <col min="9" max="9" width="9.269531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164</v>
      </c>
    </row>
    <row r="2" spans="2:15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'1A'!H3+29-1</f>
        <v>66</v>
      </c>
      <c r="J4" s="1">
        <f>'1A'!H3+29-1</f>
        <v>66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34"/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35" t="s">
        <v>143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36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36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meter!E32</f>
        <v>29</v>
      </c>
      <c r="C16" s="7"/>
      <c r="D16" s="5">
        <f>meter!F32</f>
        <v>30</v>
      </c>
      <c r="E16" s="7" t="s">
        <v>18</v>
      </c>
      <c r="F16" s="8">
        <f>D16-B16</f>
        <v>1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6" t="s">
        <v>31</v>
      </c>
      <c r="E18" s="1" t="s">
        <v>22</v>
      </c>
      <c r="F18" s="1">
        <f>meter!O33</f>
        <v>0</v>
      </c>
      <c r="L18" s="1" t="s">
        <v>116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6" t="s">
        <v>9</v>
      </c>
      <c r="E20" s="1" t="s">
        <v>17</v>
      </c>
      <c r="F20" s="1">
        <f>meter!I32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ht="29" x14ac:dyDescent="0.35">
      <c r="D22" s="6" t="s">
        <v>80</v>
      </c>
      <c r="E22" s="1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6" t="s">
        <v>25</v>
      </c>
      <c r="E24" s="1" t="s">
        <v>17</v>
      </c>
      <c r="F24" s="10">
        <f>meter!N32</f>
        <v>7000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6" t="str">
        <f>'1A'!C25</f>
        <v>SECURITY</v>
      </c>
      <c r="E26" s="1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37" t="s">
        <v>117</v>
      </c>
      <c r="E27" s="11" t="s">
        <v>22</v>
      </c>
      <c r="F27" s="10"/>
      <c r="N27" s="1">
        <f t="shared" si="0"/>
        <v>11393</v>
      </c>
      <c r="O27" s="1">
        <v>11393</v>
      </c>
    </row>
    <row r="28" spans="2:15" x14ac:dyDescent="0.35">
      <c r="D28" s="6" t="s">
        <v>10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6" t="s">
        <v>11</v>
      </c>
      <c r="E30" s="1" t="s">
        <v>22</v>
      </c>
      <c r="F30" s="10">
        <f>SUM(F17:F29)</f>
        <v>7150</v>
      </c>
      <c r="H30" s="12"/>
      <c r="N30" s="1">
        <f t="shared" si="0"/>
        <v>9570</v>
      </c>
      <c r="O30" s="1">
        <v>9570</v>
      </c>
    </row>
    <row r="31" spans="2:15" x14ac:dyDescent="0.35">
      <c r="F31" s="10"/>
      <c r="N31" s="1">
        <f t="shared" si="0"/>
        <v>11390</v>
      </c>
      <c r="O31" s="1">
        <v>11390</v>
      </c>
    </row>
    <row r="32" spans="2:15" x14ac:dyDescent="0.35">
      <c r="D32" s="6" t="s">
        <v>34</v>
      </c>
      <c r="F32" s="10">
        <f>meter!T32</f>
        <v>0</v>
      </c>
      <c r="N32" s="1">
        <f t="shared" si="0"/>
        <v>10750</v>
      </c>
      <c r="O32" s="1">
        <v>10750</v>
      </c>
    </row>
    <row r="33" spans="1:18" x14ac:dyDescent="0.35">
      <c r="F33" s="10"/>
      <c r="N33" s="1">
        <f t="shared" si="0"/>
        <v>11732</v>
      </c>
      <c r="O33" s="1">
        <v>11732</v>
      </c>
    </row>
    <row r="34" spans="1:18" x14ac:dyDescent="0.35">
      <c r="D34" s="6" t="s">
        <v>87</v>
      </c>
      <c r="F34" s="12">
        <f>F30-F32</f>
        <v>7150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 t="s">
        <v>12</v>
      </c>
      <c r="N35" s="1">
        <f t="shared" si="0"/>
        <v>10270</v>
      </c>
      <c r="O35" s="1">
        <v>10270</v>
      </c>
    </row>
    <row r="36" spans="1:18" ht="70.5" x14ac:dyDescent="0.55000000000000004">
      <c r="B36" s="13"/>
      <c r="D36" s="141" t="s">
        <v>244</v>
      </c>
      <c r="L36" s="30"/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x14ac:dyDescent="0.35">
      <c r="B38" s="13"/>
      <c r="K38" s="30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</row>
    <row r="43" spans="1:18" x14ac:dyDescent="0.35">
      <c r="B43" s="4"/>
    </row>
    <row r="44" spans="1:18" x14ac:dyDescent="0.35">
      <c r="B44" s="14"/>
      <c r="D44" s="1"/>
    </row>
    <row r="45" spans="1:18" x14ac:dyDescent="0.35">
      <c r="B45" s="14"/>
      <c r="D45" s="1"/>
      <c r="G45" s="15"/>
      <c r="H45" s="15"/>
      <c r="I45" s="15"/>
    </row>
    <row r="46" spans="1:18" x14ac:dyDescent="0.35">
      <c r="A46" s="15"/>
      <c r="B46" s="14"/>
      <c r="D46" s="1"/>
    </row>
    <row r="47" spans="1:18" x14ac:dyDescent="0.35">
      <c r="B47" s="14"/>
      <c r="D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D49" s="1"/>
    </row>
    <row r="50" spans="1:9" x14ac:dyDescent="0.35">
      <c r="A50" s="13"/>
      <c r="B50" s="14"/>
      <c r="D50" s="1"/>
      <c r="G50" s="13"/>
      <c r="H50" s="13"/>
      <c r="I50" s="13"/>
    </row>
    <row r="51" spans="1:9" x14ac:dyDescent="0.35">
      <c r="A51" s="13"/>
      <c r="B51" s="4"/>
      <c r="D51" s="1"/>
    </row>
    <row r="52" spans="1:9" x14ac:dyDescent="0.35">
      <c r="A52" s="13"/>
      <c r="B52" s="13"/>
      <c r="D52" s="1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7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V53"/>
  <sheetViews>
    <sheetView topLeftCell="A25" zoomScale="67" workbookViewId="0">
      <selection activeCell="G49" sqref="G45:G49"/>
    </sheetView>
  </sheetViews>
  <sheetFormatPr defaultColWidth="9" defaultRowHeight="14.5" x14ac:dyDescent="0.35"/>
  <cols>
    <col min="1" max="1" width="9.1796875" style="1" customWidth="1"/>
    <col min="2" max="2" width="24.1796875" style="1" customWidth="1"/>
    <col min="3" max="3" width="9.1796875" style="1" customWidth="1"/>
    <col min="4" max="4" width="23" style="6" customWidth="1"/>
    <col min="5" max="5" width="13.1796875" style="1" customWidth="1"/>
    <col min="6" max="6" width="14.453125" style="1" customWidth="1"/>
    <col min="7" max="8" width="9.1796875" style="1" customWidth="1"/>
    <col min="9" max="9" width="9.269531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3.5" x14ac:dyDescent="0.55000000000000004">
      <c r="B1" s="2" t="s">
        <v>164</v>
      </c>
    </row>
    <row r="2" spans="2:15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'1A'!H3+31-1</f>
        <v>68</v>
      </c>
      <c r="J4" s="1">
        <f>'1A'!H3+31-1</f>
        <v>68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34" t="str">
        <f>meter!B34</f>
        <v>YUSUF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35" t="s">
        <v>144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39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36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meter!E34</f>
        <v>48</v>
      </c>
      <c r="C16" s="7"/>
      <c r="D16" s="5">
        <f>meter!F34</f>
        <v>49</v>
      </c>
      <c r="E16" s="7" t="s">
        <v>18</v>
      </c>
      <c r="F16" s="8">
        <f>D16-B16</f>
        <v>1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6" t="s">
        <v>31</v>
      </c>
      <c r="E18" s="1" t="s">
        <v>22</v>
      </c>
      <c r="F18" s="1">
        <f>meter!O34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6" t="s">
        <v>9</v>
      </c>
      <c r="E20" s="1" t="s">
        <v>17</v>
      </c>
      <c r="F20" s="1">
        <f>meter!I34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x14ac:dyDescent="0.35">
      <c r="D22" s="6" t="s">
        <v>80</v>
      </c>
      <c r="E22" s="1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6" t="s">
        <v>25</v>
      </c>
      <c r="E24" s="1" t="s">
        <v>17</v>
      </c>
      <c r="F24" s="10">
        <f>meter!N34</f>
        <v>10000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6" t="str">
        <f>'1A'!C25</f>
        <v>SECURITY</v>
      </c>
      <c r="E26" s="1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37" t="s">
        <v>117</v>
      </c>
      <c r="E27" s="11" t="s">
        <v>22</v>
      </c>
      <c r="F27" s="10"/>
      <c r="N27" s="1">
        <f t="shared" si="0"/>
        <v>11393</v>
      </c>
      <c r="O27" s="1">
        <v>11393</v>
      </c>
    </row>
    <row r="28" spans="2:15" ht="29" x14ac:dyDescent="0.35">
      <c r="D28" s="6" t="s">
        <v>83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6" t="s">
        <v>11</v>
      </c>
      <c r="E30" s="1" t="s">
        <v>22</v>
      </c>
      <c r="F30" s="10">
        <f>SUM(F17:F29)</f>
        <v>10150</v>
      </c>
      <c r="H30" s="12"/>
      <c r="N30" s="1">
        <f t="shared" si="0"/>
        <v>9570</v>
      </c>
      <c r="O30" s="1">
        <v>9570</v>
      </c>
    </row>
    <row r="31" spans="2:15" x14ac:dyDescent="0.35">
      <c r="F31" s="10"/>
      <c r="N31" s="1">
        <f t="shared" si="0"/>
        <v>11390</v>
      </c>
      <c r="O31" s="1">
        <v>11390</v>
      </c>
    </row>
    <row r="32" spans="2:15" x14ac:dyDescent="0.35">
      <c r="D32" s="6" t="s">
        <v>34</v>
      </c>
      <c r="F32" s="10">
        <f>meter!T34</f>
        <v>0</v>
      </c>
      <c r="N32" s="1">
        <f t="shared" si="0"/>
        <v>10750</v>
      </c>
      <c r="O32" s="1">
        <v>10750</v>
      </c>
    </row>
    <row r="33" spans="1:18" x14ac:dyDescent="0.35">
      <c r="F33" s="10"/>
      <c r="N33" s="1">
        <f t="shared" si="0"/>
        <v>11732</v>
      </c>
      <c r="O33" s="1">
        <v>11732</v>
      </c>
    </row>
    <row r="34" spans="1:18" x14ac:dyDescent="0.35">
      <c r="D34" s="6" t="s">
        <v>87</v>
      </c>
      <c r="F34" s="12">
        <f>F30-F32</f>
        <v>10150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/>
      <c r="N35" s="1">
        <f t="shared" si="0"/>
        <v>10270</v>
      </c>
      <c r="O35" s="1">
        <v>10270</v>
      </c>
    </row>
    <row r="36" spans="1:18" ht="70.5" x14ac:dyDescent="0.55000000000000004">
      <c r="B36" s="13"/>
      <c r="D36" s="141" t="s">
        <v>245</v>
      </c>
      <c r="L36" s="30"/>
      <c r="N36" s="1">
        <f t="shared" si="0"/>
        <v>10598</v>
      </c>
      <c r="O36" s="1">
        <v>10598</v>
      </c>
    </row>
    <row r="37" spans="1:18" x14ac:dyDescent="0.35">
      <c r="B37" s="13"/>
      <c r="N37" s="1">
        <f t="shared" si="0"/>
        <v>8770</v>
      </c>
      <c r="O37" s="1">
        <v>8770</v>
      </c>
    </row>
    <row r="38" spans="1:18" x14ac:dyDescent="0.35">
      <c r="B38" s="13"/>
      <c r="K38" s="30"/>
      <c r="N38" s="1">
        <f t="shared" si="0"/>
        <v>8770</v>
      </c>
      <c r="O38" s="1">
        <v>8770</v>
      </c>
    </row>
    <row r="39" spans="1:18" x14ac:dyDescent="0.35">
      <c r="B39" s="13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</row>
    <row r="43" spans="1:18" x14ac:dyDescent="0.35">
      <c r="B43" s="4"/>
    </row>
    <row r="44" spans="1:18" x14ac:dyDescent="0.35">
      <c r="B44" s="14"/>
      <c r="D44" s="1"/>
    </row>
    <row r="45" spans="1:18" x14ac:dyDescent="0.35">
      <c r="B45" s="14"/>
      <c r="D45" s="1"/>
      <c r="G45" s="15"/>
      <c r="H45" s="15"/>
      <c r="I45" s="15"/>
    </row>
    <row r="46" spans="1:18" x14ac:dyDescent="0.35">
      <c r="A46" s="15"/>
      <c r="B46" s="14"/>
      <c r="D46" s="1"/>
    </row>
    <row r="47" spans="1:18" x14ac:dyDescent="0.35">
      <c r="B47" s="14"/>
      <c r="D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D49" s="1"/>
    </row>
    <row r="50" spans="1:9" x14ac:dyDescent="0.35">
      <c r="A50" s="13"/>
      <c r="B50" s="14"/>
      <c r="D50" s="1"/>
      <c r="G50" s="13"/>
      <c r="H50" s="13"/>
      <c r="I50" s="13"/>
    </row>
    <row r="51" spans="1:9" x14ac:dyDescent="0.35">
      <c r="A51" s="13"/>
      <c r="B51" s="4"/>
      <c r="D51" s="1"/>
    </row>
    <row r="52" spans="1:9" x14ac:dyDescent="0.35">
      <c r="A52" s="13"/>
      <c r="B52" s="13"/>
      <c r="D52" s="1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66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V53"/>
  <sheetViews>
    <sheetView topLeftCell="A26" zoomScale="67" workbookViewId="0">
      <selection activeCell="F47" sqref="F47"/>
    </sheetView>
  </sheetViews>
  <sheetFormatPr defaultColWidth="9" defaultRowHeight="14.5" x14ac:dyDescent="0.35"/>
  <cols>
    <col min="1" max="1" width="9.1796875" style="1" customWidth="1"/>
    <col min="2" max="2" width="21" style="1" customWidth="1"/>
    <col min="3" max="3" width="9.1796875" style="1" hidden="1" customWidth="1"/>
    <col min="4" max="4" width="19.81640625" style="6" customWidth="1"/>
    <col min="5" max="5" width="13.1796875" style="1" hidden="1" customWidth="1"/>
    <col min="6" max="6" width="17.453125" style="1" customWidth="1"/>
    <col min="7" max="7" width="9.1796875" style="1" customWidth="1"/>
    <col min="8" max="8" width="9.54296875" style="1" customWidth="1"/>
    <col min="9" max="9" width="9.269531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1:15" ht="23.5" x14ac:dyDescent="0.55000000000000004">
      <c r="A1" s="11" t="s">
        <v>118</v>
      </c>
      <c r="B1" s="2" t="s">
        <v>164</v>
      </c>
    </row>
    <row r="2" spans="1:15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1:15" ht="18.5" x14ac:dyDescent="0.45">
      <c r="B3" s="3" t="s">
        <v>0</v>
      </c>
      <c r="N3" s="1">
        <f>O3-Q3</f>
        <v>10270</v>
      </c>
      <c r="O3" s="1">
        <v>10270</v>
      </c>
    </row>
    <row r="4" spans="1:15" x14ac:dyDescent="0.35">
      <c r="H4" s="1" t="s">
        <v>6</v>
      </c>
      <c r="I4" s="1">
        <f>'1A'!H3+32-1</f>
        <v>69</v>
      </c>
      <c r="J4" s="1">
        <f>'1A'!H3+32-1</f>
        <v>69</v>
      </c>
      <c r="N4" s="1">
        <f t="shared" ref="N4:N38" si="0">O4-Q4</f>
        <v>10304</v>
      </c>
      <c r="O4" s="1">
        <v>10304</v>
      </c>
    </row>
    <row r="5" spans="1:15" x14ac:dyDescent="0.35">
      <c r="N5" s="1">
        <f t="shared" si="0"/>
        <v>10988</v>
      </c>
      <c r="O5" s="1">
        <v>10988</v>
      </c>
    </row>
    <row r="6" spans="1:15" x14ac:dyDescent="0.35">
      <c r="B6" s="1" t="s">
        <v>7</v>
      </c>
      <c r="D6" s="34" t="str">
        <f>meter!B35</f>
        <v>TUSMA</v>
      </c>
      <c r="N6" s="1">
        <f t="shared" si="0"/>
        <v>11070</v>
      </c>
      <c r="O6" s="1">
        <v>11070</v>
      </c>
    </row>
    <row r="7" spans="1:15" x14ac:dyDescent="0.35">
      <c r="N7" s="1">
        <f t="shared" si="0"/>
        <v>1197</v>
      </c>
      <c r="O7" s="1">
        <v>1197</v>
      </c>
    </row>
    <row r="8" spans="1:15" x14ac:dyDescent="0.35">
      <c r="B8" s="1" t="s">
        <v>57</v>
      </c>
      <c r="D8" s="35" t="s">
        <v>145</v>
      </c>
      <c r="N8" s="1">
        <f t="shared" si="0"/>
        <v>9250</v>
      </c>
      <c r="O8" s="1">
        <v>9250</v>
      </c>
    </row>
    <row r="9" spans="1:15" x14ac:dyDescent="0.35">
      <c r="N9" s="1">
        <f t="shared" si="0"/>
        <v>8770</v>
      </c>
      <c r="O9" s="1">
        <v>8770</v>
      </c>
    </row>
    <row r="10" spans="1:15" x14ac:dyDescent="0.35">
      <c r="B10" s="1" t="s">
        <v>1</v>
      </c>
      <c r="D10" s="39">
        <v>45566</v>
      </c>
      <c r="N10" s="1">
        <f t="shared" si="0"/>
        <v>23190</v>
      </c>
      <c r="O10" s="1">
        <v>23190</v>
      </c>
    </row>
    <row r="11" spans="1:15" x14ac:dyDescent="0.35">
      <c r="N11" s="1">
        <f t="shared" si="0"/>
        <v>10910</v>
      </c>
      <c r="O11" s="1">
        <v>10910</v>
      </c>
    </row>
    <row r="12" spans="1:15" x14ac:dyDescent="0.35">
      <c r="B12" s="1" t="s">
        <v>2</v>
      </c>
      <c r="D12" s="36">
        <v>45570</v>
      </c>
      <c r="N12" s="1">
        <f t="shared" si="0"/>
        <v>10910</v>
      </c>
      <c r="O12" s="1">
        <v>10910</v>
      </c>
    </row>
    <row r="13" spans="1:15" x14ac:dyDescent="0.35">
      <c r="N13" s="1">
        <f t="shared" si="0"/>
        <v>12190</v>
      </c>
      <c r="O13" s="1">
        <v>12190</v>
      </c>
    </row>
    <row r="14" spans="1:15" x14ac:dyDescent="0.35">
      <c r="N14" s="1">
        <f t="shared" si="0"/>
        <v>11070</v>
      </c>
      <c r="O14" s="1">
        <v>11070</v>
      </c>
    </row>
    <row r="15" spans="1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1:15" x14ac:dyDescent="0.35">
      <c r="B16" s="7">
        <f>meter!E35</f>
        <v>9</v>
      </c>
      <c r="C16" s="7"/>
      <c r="D16" s="5">
        <f>meter!F35</f>
        <v>10</v>
      </c>
      <c r="E16" s="7" t="s">
        <v>18</v>
      </c>
      <c r="F16" s="8">
        <f>D16-B16</f>
        <v>1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6" t="s">
        <v>31</v>
      </c>
      <c r="E18" s="1" t="s">
        <v>22</v>
      </c>
      <c r="F18" s="1">
        <f>meter!O35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6" t="s">
        <v>9</v>
      </c>
      <c r="E20" s="1" t="s">
        <v>17</v>
      </c>
      <c r="F20" s="1">
        <f>meter!I35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ht="29" x14ac:dyDescent="0.35">
      <c r="D22" s="6" t="s">
        <v>80</v>
      </c>
      <c r="E22" s="1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6" t="s">
        <v>25</v>
      </c>
      <c r="E24" s="1" t="s">
        <v>17</v>
      </c>
      <c r="F24" s="10">
        <f>meter!N35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6" t="str">
        <f>'1A'!C25</f>
        <v>SECURITY</v>
      </c>
      <c r="E26" s="1" t="str">
        <f>'1A'!D25</f>
        <v>Kshs.</v>
      </c>
      <c r="F26" s="1">
        <f>meter!M35</f>
        <v>0</v>
      </c>
      <c r="N26" s="1">
        <f t="shared" si="0"/>
        <v>11550</v>
      </c>
      <c r="O26" s="1">
        <v>11550</v>
      </c>
    </row>
    <row r="27" spans="2:15" x14ac:dyDescent="0.35">
      <c r="D27" s="37" t="s">
        <v>117</v>
      </c>
      <c r="E27" s="11" t="s">
        <v>22</v>
      </c>
      <c r="F27" s="10"/>
      <c r="N27" s="1">
        <f t="shared" si="0"/>
        <v>11393</v>
      </c>
      <c r="O27" s="1">
        <v>11393</v>
      </c>
    </row>
    <row r="28" spans="2:15" ht="29" x14ac:dyDescent="0.35">
      <c r="D28" s="6" t="s">
        <v>79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6" t="s">
        <v>11</v>
      </c>
      <c r="E30" s="1" t="s">
        <v>22</v>
      </c>
      <c r="F30" s="10">
        <f>SUM(F17:F29)</f>
        <v>8150</v>
      </c>
      <c r="H30" s="12"/>
      <c r="N30" s="1">
        <f t="shared" si="0"/>
        <v>9570</v>
      </c>
      <c r="O30" s="1">
        <v>9570</v>
      </c>
    </row>
    <row r="31" spans="2:15" x14ac:dyDescent="0.35">
      <c r="F31" s="10"/>
      <c r="N31" s="1">
        <f t="shared" si="0"/>
        <v>11390</v>
      </c>
      <c r="O31" s="1">
        <v>11390</v>
      </c>
    </row>
    <row r="32" spans="2:15" x14ac:dyDescent="0.35">
      <c r="D32" s="6" t="s">
        <v>34</v>
      </c>
      <c r="F32" s="10">
        <f>meter!T35</f>
        <v>0</v>
      </c>
      <c r="N32" s="1">
        <f t="shared" si="0"/>
        <v>10750</v>
      </c>
      <c r="O32" s="1">
        <v>10750</v>
      </c>
    </row>
    <row r="33" spans="1:18" x14ac:dyDescent="0.35">
      <c r="F33" s="10"/>
      <c r="N33" s="1">
        <f t="shared" si="0"/>
        <v>11732</v>
      </c>
      <c r="O33" s="1">
        <v>11732</v>
      </c>
    </row>
    <row r="34" spans="1:18" x14ac:dyDescent="0.35">
      <c r="D34" s="6" t="s">
        <v>87</v>
      </c>
      <c r="F34" s="12">
        <f>F30-F32</f>
        <v>8150</v>
      </c>
      <c r="N34" s="1">
        <f t="shared" si="0"/>
        <v>10934</v>
      </c>
      <c r="O34" s="1">
        <v>10934</v>
      </c>
      <c r="R34" s="1">
        <v>700</v>
      </c>
    </row>
    <row r="35" spans="1:18" ht="70.5" x14ac:dyDescent="0.55000000000000004">
      <c r="C35" s="9" t="s">
        <v>12</v>
      </c>
      <c r="D35" s="141" t="s">
        <v>246</v>
      </c>
      <c r="N35" s="1">
        <f t="shared" si="0"/>
        <v>10270</v>
      </c>
      <c r="O35" s="1">
        <v>10270</v>
      </c>
    </row>
    <row r="36" spans="1:18" x14ac:dyDescent="0.35">
      <c r="B36" s="13"/>
      <c r="L36" s="30"/>
      <c r="N36" s="1">
        <f t="shared" si="0"/>
        <v>10598</v>
      </c>
      <c r="O36" s="1">
        <v>10598</v>
      </c>
    </row>
    <row r="37" spans="1:18" x14ac:dyDescent="0.35">
      <c r="B37" s="21"/>
      <c r="N37" s="1">
        <f t="shared" si="0"/>
        <v>8770</v>
      </c>
      <c r="O37" s="1">
        <v>8770</v>
      </c>
    </row>
    <row r="38" spans="1:18" x14ac:dyDescent="0.35">
      <c r="B38" s="13"/>
      <c r="K38" s="30"/>
      <c r="N38" s="1">
        <f t="shared" si="0"/>
        <v>8770</v>
      </c>
      <c r="O38" s="1">
        <v>8770</v>
      </c>
    </row>
    <row r="39" spans="1:18" x14ac:dyDescent="0.35">
      <c r="B39" s="13"/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</row>
    <row r="43" spans="1:18" x14ac:dyDescent="0.35">
      <c r="B43" s="4"/>
    </row>
    <row r="44" spans="1:18" x14ac:dyDescent="0.35">
      <c r="B44" s="14"/>
      <c r="D44" s="1"/>
    </row>
    <row r="45" spans="1:18" x14ac:dyDescent="0.35">
      <c r="B45" s="14"/>
      <c r="D45" s="1"/>
      <c r="G45" s="15"/>
      <c r="H45" s="15"/>
      <c r="I45" s="15"/>
    </row>
    <row r="46" spans="1:18" x14ac:dyDescent="0.35">
      <c r="A46" s="15"/>
      <c r="B46" s="14"/>
      <c r="D46" s="1"/>
    </row>
    <row r="47" spans="1:18" x14ac:dyDescent="0.35">
      <c r="B47" s="14"/>
      <c r="D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D49" s="1"/>
    </row>
    <row r="50" spans="1:9" x14ac:dyDescent="0.35">
      <c r="A50" s="13"/>
      <c r="B50" s="14"/>
      <c r="D50" s="1"/>
      <c r="G50" s="13"/>
      <c r="H50" s="13"/>
      <c r="I50" s="13"/>
    </row>
    <row r="51" spans="1:9" x14ac:dyDescent="0.35">
      <c r="A51" s="13"/>
      <c r="B51" s="4"/>
      <c r="D51" s="1"/>
    </row>
    <row r="52" spans="1:9" x14ac:dyDescent="0.35">
      <c r="A52" s="13"/>
      <c r="B52" s="13"/>
      <c r="D52" s="1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7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V53"/>
  <sheetViews>
    <sheetView topLeftCell="A22" zoomScale="60" workbookViewId="0">
      <selection activeCell="F50" sqref="F50"/>
    </sheetView>
  </sheetViews>
  <sheetFormatPr defaultColWidth="9" defaultRowHeight="14.5" x14ac:dyDescent="0.35"/>
  <cols>
    <col min="1" max="1" width="9.1796875" style="1" customWidth="1"/>
    <col min="2" max="2" width="20.7265625" style="1" customWidth="1"/>
    <col min="3" max="3" width="9.1796875" style="1" customWidth="1"/>
    <col min="4" max="4" width="19.81640625" style="6" customWidth="1"/>
    <col min="5" max="5" width="13.1796875" style="1" customWidth="1"/>
    <col min="6" max="6" width="15.7265625" style="1" customWidth="1"/>
    <col min="7" max="8" width="9.1796875" style="1" customWidth="1"/>
    <col min="9" max="9" width="9.26953125" style="1" customWidth="1"/>
    <col min="10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31" x14ac:dyDescent="0.55000000000000004">
      <c r="B1" s="2" t="s">
        <v>105</v>
      </c>
      <c r="D1" s="6" t="s">
        <v>164</v>
      </c>
    </row>
    <row r="2" spans="2:15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2:15" ht="18.5" x14ac:dyDescent="0.45">
      <c r="B3" s="3" t="s">
        <v>0</v>
      </c>
      <c r="N3" s="1">
        <f>O3-Q3</f>
        <v>10270</v>
      </c>
      <c r="O3" s="1">
        <v>10270</v>
      </c>
    </row>
    <row r="4" spans="2:15" x14ac:dyDescent="0.35">
      <c r="H4" s="1" t="s">
        <v>6</v>
      </c>
      <c r="I4" s="1">
        <f>'1A'!H3+33-1</f>
        <v>70</v>
      </c>
      <c r="J4" s="1">
        <f>'1A'!H3+33-1</f>
        <v>70</v>
      </c>
      <c r="N4" s="1">
        <f t="shared" ref="N4:N38" si="0">O4-Q4</f>
        <v>10304</v>
      </c>
      <c r="O4" s="1">
        <v>10304</v>
      </c>
    </row>
    <row r="5" spans="2:15" x14ac:dyDescent="0.35">
      <c r="N5" s="1">
        <f t="shared" si="0"/>
        <v>10988</v>
      </c>
      <c r="O5" s="1">
        <v>10988</v>
      </c>
    </row>
    <row r="6" spans="2:15" x14ac:dyDescent="0.35">
      <c r="B6" s="1" t="s">
        <v>7</v>
      </c>
      <c r="D6" s="34" t="str">
        <f>meter!B36</f>
        <v>FOZIA YUSSUF</v>
      </c>
      <c r="N6" s="1">
        <f t="shared" si="0"/>
        <v>11070</v>
      </c>
      <c r="O6" s="1">
        <v>11070</v>
      </c>
    </row>
    <row r="7" spans="2:15" x14ac:dyDescent="0.35">
      <c r="N7" s="1">
        <f t="shared" si="0"/>
        <v>1197</v>
      </c>
      <c r="O7" s="1">
        <v>1197</v>
      </c>
    </row>
    <row r="8" spans="2:15" x14ac:dyDescent="0.35">
      <c r="B8" s="1" t="s">
        <v>57</v>
      </c>
      <c r="D8" s="35" t="s">
        <v>146</v>
      </c>
      <c r="N8" s="1">
        <f t="shared" si="0"/>
        <v>9250</v>
      </c>
      <c r="O8" s="1">
        <v>9250</v>
      </c>
    </row>
    <row r="9" spans="2:15" x14ac:dyDescent="0.35">
      <c r="N9" s="1">
        <f t="shared" si="0"/>
        <v>8770</v>
      </c>
      <c r="O9" s="1">
        <v>8770</v>
      </c>
    </row>
    <row r="10" spans="2:15" x14ac:dyDescent="0.35">
      <c r="B10" s="1" t="s">
        <v>1</v>
      </c>
      <c r="D10" s="36" t="str">
        <f>'1A'!C9</f>
        <v>30TH JAN 2026</v>
      </c>
      <c r="N10" s="1">
        <f t="shared" si="0"/>
        <v>23190</v>
      </c>
      <c r="O10" s="1">
        <v>23190</v>
      </c>
    </row>
    <row r="11" spans="2:15" x14ac:dyDescent="0.35">
      <c r="N11" s="1">
        <f t="shared" si="0"/>
        <v>10910</v>
      </c>
      <c r="O11" s="1">
        <v>10910</v>
      </c>
    </row>
    <row r="12" spans="2:15" x14ac:dyDescent="0.35">
      <c r="B12" s="1" t="s">
        <v>2</v>
      </c>
      <c r="D12" s="36" t="str">
        <f>'1A'!C11</f>
        <v>5TH FEB 2026</v>
      </c>
      <c r="N12" s="1">
        <f t="shared" si="0"/>
        <v>10910</v>
      </c>
      <c r="O12" s="1">
        <v>10910</v>
      </c>
    </row>
    <row r="13" spans="2:15" x14ac:dyDescent="0.35">
      <c r="N13" s="1">
        <f t="shared" si="0"/>
        <v>12190</v>
      </c>
      <c r="O13" s="1">
        <v>12190</v>
      </c>
    </row>
    <row r="14" spans="2:15" x14ac:dyDescent="0.35">
      <c r="N14" s="1">
        <f t="shared" si="0"/>
        <v>11070</v>
      </c>
      <c r="O14" s="1">
        <v>11070</v>
      </c>
    </row>
    <row r="15" spans="2:15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x14ac:dyDescent="0.35">
      <c r="B16" s="7">
        <f>meter!E36</f>
        <v>45</v>
      </c>
      <c r="C16" s="7"/>
      <c r="D16" s="5">
        <f>meter!F36</f>
        <v>46</v>
      </c>
      <c r="E16" s="7" t="s">
        <v>18</v>
      </c>
      <c r="F16" s="8">
        <f>D16-B16</f>
        <v>1</v>
      </c>
      <c r="N16" s="1">
        <f t="shared" si="0"/>
        <v>9420</v>
      </c>
      <c r="O16" s="1">
        <v>9420</v>
      </c>
    </row>
    <row r="17" spans="2:15" x14ac:dyDescent="0.35">
      <c r="F17" s="1" t="s">
        <v>62</v>
      </c>
      <c r="N17" s="1">
        <f t="shared" si="0"/>
        <v>11154</v>
      </c>
      <c r="O17" s="1">
        <v>11154</v>
      </c>
    </row>
    <row r="18" spans="2:15" x14ac:dyDescent="0.35">
      <c r="D18" s="6" t="s">
        <v>31</v>
      </c>
      <c r="E18" s="1" t="s">
        <v>22</v>
      </c>
      <c r="F18" s="10">
        <f>meter!O36</f>
        <v>0</v>
      </c>
      <c r="N18" s="1">
        <f t="shared" si="0"/>
        <v>10430</v>
      </c>
      <c r="O18" s="1">
        <v>10430</v>
      </c>
    </row>
    <row r="19" spans="2:15" ht="15.5" x14ac:dyDescent="0.35">
      <c r="B19" s="9"/>
      <c r="N19" s="1">
        <f t="shared" si="0"/>
        <v>11831</v>
      </c>
      <c r="O19" s="1">
        <v>11831</v>
      </c>
    </row>
    <row r="20" spans="2:15" x14ac:dyDescent="0.35">
      <c r="D20" s="6" t="s">
        <v>9</v>
      </c>
      <c r="E20" s="1" t="s">
        <v>17</v>
      </c>
      <c r="F20" s="1">
        <f>meter!I36</f>
        <v>150</v>
      </c>
      <c r="N20" s="1">
        <f t="shared" si="0"/>
        <v>10590</v>
      </c>
      <c r="O20" s="1">
        <v>10590</v>
      </c>
    </row>
    <row r="21" spans="2:15" x14ac:dyDescent="0.35">
      <c r="N21" s="1">
        <f t="shared" si="0"/>
        <v>22423</v>
      </c>
      <c r="O21" s="1">
        <v>22423</v>
      </c>
    </row>
    <row r="22" spans="2:15" ht="29" x14ac:dyDescent="0.35">
      <c r="D22" s="6" t="s">
        <v>80</v>
      </c>
      <c r="E22" s="1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x14ac:dyDescent="0.35">
      <c r="N23" s="1">
        <f t="shared" si="0"/>
        <v>10162</v>
      </c>
      <c r="O23" s="1">
        <v>10162</v>
      </c>
    </row>
    <row r="24" spans="2:15" x14ac:dyDescent="0.35">
      <c r="D24" s="6" t="s">
        <v>25</v>
      </c>
      <c r="E24" s="1" t="s">
        <v>17</v>
      </c>
      <c r="F24" s="10">
        <f>meter!N36</f>
        <v>8000</v>
      </c>
      <c r="N24" s="1">
        <f t="shared" si="0"/>
        <v>10270</v>
      </c>
      <c r="O24" s="1">
        <v>10270</v>
      </c>
    </row>
    <row r="25" spans="2:15" x14ac:dyDescent="0.35">
      <c r="F25" s="10"/>
      <c r="N25" s="1">
        <f t="shared" si="0"/>
        <v>11070</v>
      </c>
      <c r="O25" s="1">
        <v>11070</v>
      </c>
    </row>
    <row r="26" spans="2:15" x14ac:dyDescent="0.35">
      <c r="D26" s="6" t="str">
        <f>'1A'!C25</f>
        <v>SECURITY</v>
      </c>
      <c r="E26" s="1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x14ac:dyDescent="0.35">
      <c r="D27" s="37" t="s">
        <v>117</v>
      </c>
      <c r="E27" s="11" t="s">
        <v>22</v>
      </c>
      <c r="F27" s="10"/>
      <c r="N27" s="1">
        <f t="shared" si="0"/>
        <v>11393</v>
      </c>
      <c r="O27" s="1">
        <v>11393</v>
      </c>
    </row>
    <row r="28" spans="2:15" x14ac:dyDescent="0.35">
      <c r="D28" s="6" t="s">
        <v>10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x14ac:dyDescent="0.35">
      <c r="D30" s="6" t="s">
        <v>11</v>
      </c>
      <c r="E30" s="1" t="s">
        <v>22</v>
      </c>
      <c r="F30" s="10">
        <f>SUM(F17:F29)</f>
        <v>8150</v>
      </c>
      <c r="H30" s="12"/>
      <c r="N30" s="1">
        <f t="shared" si="0"/>
        <v>9570</v>
      </c>
      <c r="O30" s="1">
        <v>9570</v>
      </c>
    </row>
    <row r="31" spans="2:15" x14ac:dyDescent="0.35">
      <c r="F31" s="10"/>
      <c r="N31" s="1">
        <f t="shared" si="0"/>
        <v>11390</v>
      </c>
      <c r="O31" s="1">
        <v>11390</v>
      </c>
    </row>
    <row r="32" spans="2:15" x14ac:dyDescent="0.35">
      <c r="D32" s="6" t="s">
        <v>34</v>
      </c>
      <c r="F32" s="10">
        <f>meter!T36</f>
        <v>0</v>
      </c>
      <c r="N32" s="1">
        <f t="shared" si="0"/>
        <v>10750</v>
      </c>
      <c r="O32" s="1">
        <v>10750</v>
      </c>
    </row>
    <row r="33" spans="1:18" x14ac:dyDescent="0.35">
      <c r="F33" s="10"/>
      <c r="N33" s="1">
        <f t="shared" si="0"/>
        <v>11732</v>
      </c>
      <c r="O33" s="1">
        <v>11732</v>
      </c>
    </row>
    <row r="34" spans="1:18" x14ac:dyDescent="0.35">
      <c r="D34" s="6" t="s">
        <v>87</v>
      </c>
      <c r="F34" s="12">
        <f>F30-F32</f>
        <v>8150</v>
      </c>
      <c r="N34" s="1">
        <f t="shared" si="0"/>
        <v>10934</v>
      </c>
      <c r="O34" s="1">
        <v>10934</v>
      </c>
      <c r="R34" s="1">
        <v>700</v>
      </c>
    </row>
    <row r="35" spans="1:18" ht="15.5" x14ac:dyDescent="0.35">
      <c r="C35" s="9"/>
      <c r="N35" s="1">
        <f t="shared" si="0"/>
        <v>10270</v>
      </c>
      <c r="O35" s="1">
        <v>10270</v>
      </c>
    </row>
    <row r="36" spans="1:18" ht="23.5" x14ac:dyDescent="0.55000000000000004">
      <c r="B36" s="13"/>
      <c r="D36" s="139" t="s">
        <v>247</v>
      </c>
      <c r="F36" s="6"/>
      <c r="L36" s="30"/>
      <c r="N36" s="1">
        <f t="shared" si="0"/>
        <v>10598</v>
      </c>
      <c r="O36" s="1">
        <v>10598</v>
      </c>
    </row>
    <row r="37" spans="1:18" x14ac:dyDescent="0.35">
      <c r="B37" s="13"/>
      <c r="D37" s="13"/>
      <c r="F37" s="6"/>
      <c r="N37" s="1">
        <f t="shared" si="0"/>
        <v>8770</v>
      </c>
      <c r="O37" s="1">
        <v>8770</v>
      </c>
    </row>
    <row r="38" spans="1:18" x14ac:dyDescent="0.35">
      <c r="B38" s="13"/>
      <c r="D38" s="13"/>
      <c r="F38" s="6"/>
      <c r="K38" s="30"/>
      <c r="N38" s="1">
        <f t="shared" si="0"/>
        <v>8770</v>
      </c>
      <c r="O38" s="1">
        <v>8770</v>
      </c>
    </row>
    <row r="39" spans="1:18" x14ac:dyDescent="0.35">
      <c r="B39" s="13"/>
      <c r="D39" s="13"/>
      <c r="F39" s="6"/>
      <c r="O39" s="1">
        <f>SUM(O3:O38)</f>
        <v>391268</v>
      </c>
      <c r="Q39" s="1">
        <f>SUM(Q3:Q38)</f>
        <v>0</v>
      </c>
    </row>
    <row r="40" spans="1:18" hidden="1" x14ac:dyDescent="0.35">
      <c r="B40" s="13"/>
      <c r="D40" s="1"/>
      <c r="E40" s="21"/>
      <c r="G40" s="6"/>
    </row>
    <row r="41" spans="1:18" x14ac:dyDescent="0.35">
      <c r="B41" s="13"/>
    </row>
    <row r="42" spans="1:18" x14ac:dyDescent="0.35">
      <c r="B42" s="21"/>
    </row>
    <row r="43" spans="1:18" x14ac:dyDescent="0.35">
      <c r="B43" s="4"/>
    </row>
    <row r="44" spans="1:18" x14ac:dyDescent="0.35">
      <c r="B44" s="14"/>
      <c r="D44" s="1"/>
    </row>
    <row r="45" spans="1:18" x14ac:dyDescent="0.35">
      <c r="B45" s="14"/>
      <c r="D45" s="1"/>
      <c r="G45" s="15"/>
      <c r="H45" s="15"/>
      <c r="I45" s="15"/>
    </row>
    <row r="46" spans="1:18" x14ac:dyDescent="0.35">
      <c r="A46" s="15"/>
      <c r="B46" s="14"/>
      <c r="D46" s="1"/>
    </row>
    <row r="47" spans="1:18" x14ac:dyDescent="0.35">
      <c r="B47" s="14"/>
      <c r="D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D49" s="1"/>
    </row>
    <row r="50" spans="1:9" x14ac:dyDescent="0.35">
      <c r="A50" s="13"/>
      <c r="B50" s="14"/>
      <c r="D50" s="1"/>
      <c r="G50" s="13"/>
      <c r="H50" s="13"/>
      <c r="I50" s="13"/>
    </row>
    <row r="51" spans="1:9" x14ac:dyDescent="0.35">
      <c r="A51" s="13"/>
      <c r="B51" s="4"/>
      <c r="D51" s="1"/>
    </row>
    <row r="52" spans="1:9" x14ac:dyDescent="0.35">
      <c r="A52" s="13"/>
      <c r="B52" s="13"/>
      <c r="D52" s="1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7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V53"/>
  <sheetViews>
    <sheetView topLeftCell="A12" zoomScale="60" workbookViewId="0">
      <selection activeCell="E39" sqref="E39"/>
    </sheetView>
  </sheetViews>
  <sheetFormatPr defaultColWidth="9" defaultRowHeight="14.5" x14ac:dyDescent="0.35"/>
  <cols>
    <col min="1" max="1" width="9.1796875" style="1" customWidth="1"/>
    <col min="2" max="2" width="21.81640625" style="1" customWidth="1"/>
    <col min="3" max="3" width="9.1796875" style="1" customWidth="1"/>
    <col min="4" max="4" width="18.453125" style="6" customWidth="1"/>
    <col min="5" max="5" width="13.1796875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6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6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6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8" si="0">O4-Q4</f>
        <v>10304</v>
      </c>
      <c r="O4" s="1">
        <v>10304</v>
      </c>
    </row>
    <row r="5" spans="2:15" customFormat="1" x14ac:dyDescent="0.35">
      <c r="B5" s="1"/>
      <c r="C5" s="1"/>
      <c r="D5" s="6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34" t="str">
        <f>meter!B37</f>
        <v>HALIMA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6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35" t="s">
        <v>147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6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36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6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36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6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6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meter!E37</f>
        <v>28</v>
      </c>
      <c r="C16" s="7"/>
      <c r="D16" s="5">
        <f>meter!F37</f>
        <v>29</v>
      </c>
      <c r="E16" s="7" t="s">
        <v>18</v>
      </c>
      <c r="F16" s="8">
        <f>D16-B16</f>
        <v>1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6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6" t="s">
        <v>31</v>
      </c>
      <c r="E18" s="1" t="s">
        <v>22</v>
      </c>
      <c r="F18" s="1">
        <f>meter!O37</f>
        <v>0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6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6" t="s">
        <v>9</v>
      </c>
      <c r="E20" s="1" t="s">
        <v>17</v>
      </c>
      <c r="F20" s="1">
        <f>meter!I37</f>
        <v>150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6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ht="29" x14ac:dyDescent="0.35">
      <c r="B22" s="1"/>
      <c r="C22" s="1"/>
      <c r="D22" s="6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6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ht="29" x14ac:dyDescent="0.35">
      <c r="B24" s="1"/>
      <c r="C24" s="1"/>
      <c r="D24" s="6" t="s">
        <v>25</v>
      </c>
      <c r="E24" s="1" t="s">
        <v>17</v>
      </c>
      <c r="F24" s="10">
        <f>meter!N37</f>
        <v>7000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6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6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37" t="s">
        <v>117</v>
      </c>
      <c r="E27" s="11" t="s">
        <v>22</v>
      </c>
      <c r="F27" s="10"/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ht="29" x14ac:dyDescent="0.35">
      <c r="B28" s="1"/>
      <c r="C28" s="1"/>
      <c r="D28" s="6" t="s">
        <v>42</v>
      </c>
      <c r="E28" s="1" t="s">
        <v>17</v>
      </c>
      <c r="F28" s="10">
        <f>IF(F18*4%*1&lt;0,0,F18*4%*1)</f>
        <v>0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6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6" t="s">
        <v>11</v>
      </c>
      <c r="E30" s="1" t="s">
        <v>22</v>
      </c>
      <c r="F30" s="10">
        <f>SUM(F17:F29)</f>
        <v>7150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6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6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6" t="s">
        <v>87</v>
      </c>
      <c r="F34" s="12">
        <f>F30-F32</f>
        <v>7150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ht="23.5" x14ac:dyDescent="0.55000000000000004">
      <c r="A35" s="21"/>
      <c r="C35" s="6"/>
      <c r="D35" s="139" t="s">
        <v>248</v>
      </c>
      <c r="N35" s="1">
        <f t="shared" si="0"/>
        <v>10270</v>
      </c>
      <c r="O35" s="1">
        <v>10270</v>
      </c>
    </row>
    <row r="36" spans="1:256" x14ac:dyDescent="0.35">
      <c r="A36" s="13"/>
      <c r="C36" s="6"/>
      <c r="D36" s="1"/>
      <c r="L36" s="30"/>
      <c r="N36" s="1">
        <f t="shared" si="0"/>
        <v>10598</v>
      </c>
      <c r="O36" s="1">
        <v>10598</v>
      </c>
    </row>
    <row r="37" spans="1:256" x14ac:dyDescent="0.35">
      <c r="A37" s="13"/>
      <c r="C37" s="6"/>
      <c r="D37" s="1"/>
      <c r="N37" s="1">
        <f t="shared" si="0"/>
        <v>8770</v>
      </c>
      <c r="O37" s="1">
        <v>8770</v>
      </c>
    </row>
    <row r="38" spans="1:256" x14ac:dyDescent="0.35">
      <c r="A38" s="13"/>
      <c r="C38" s="6"/>
      <c r="D38" s="1"/>
      <c r="K38" s="30"/>
      <c r="N38" s="1">
        <f t="shared" si="0"/>
        <v>8770</v>
      </c>
      <c r="O38" s="1">
        <v>8770</v>
      </c>
    </row>
    <row r="39" spans="1:256" x14ac:dyDescent="0.35">
      <c r="B39" s="21"/>
      <c r="O39" s="1">
        <f>SUM(O3:O38)</f>
        <v>391268</v>
      </c>
      <c r="Q39" s="1">
        <f>SUM(Q3:Q38)</f>
        <v>0</v>
      </c>
    </row>
    <row r="40" spans="1:256" hidden="1" x14ac:dyDescent="0.35">
      <c r="B40" s="13"/>
    </row>
    <row r="41" spans="1:256" x14ac:dyDescent="0.35">
      <c r="B41" s="13"/>
    </row>
    <row r="42" spans="1:256" x14ac:dyDescent="0.35">
      <c r="B42" s="13"/>
    </row>
    <row r="43" spans="1:256" x14ac:dyDescent="0.35">
      <c r="B43" s="4"/>
    </row>
    <row r="44" spans="1:256" x14ac:dyDescent="0.35">
      <c r="B44" s="14"/>
      <c r="D44" s="1"/>
    </row>
    <row r="45" spans="1:256" x14ac:dyDescent="0.35">
      <c r="B45" s="14"/>
      <c r="D45" s="1"/>
      <c r="G45" s="15"/>
      <c r="H45" s="15"/>
      <c r="I45" s="15"/>
    </row>
    <row r="46" spans="1:256" x14ac:dyDescent="0.35">
      <c r="A46" s="15"/>
      <c r="B46" s="14"/>
      <c r="D46" s="1"/>
    </row>
    <row r="47" spans="1:256" x14ac:dyDescent="0.35">
      <c r="B47" s="14"/>
      <c r="D47" s="1"/>
    </row>
    <row r="48" spans="1:256" x14ac:dyDescent="0.35">
      <c r="B48" s="15"/>
      <c r="C48" s="15"/>
      <c r="D48" s="15"/>
      <c r="E48" s="15"/>
      <c r="F48" s="15"/>
    </row>
    <row r="49" spans="1:9" x14ac:dyDescent="0.35">
      <c r="B49" s="15"/>
      <c r="D49" s="1"/>
    </row>
    <row r="50" spans="1:9" x14ac:dyDescent="0.35">
      <c r="A50" s="13"/>
      <c r="B50" s="14"/>
      <c r="D50" s="1"/>
      <c r="G50" s="13"/>
      <c r="H50" s="13"/>
      <c r="I50" s="13"/>
    </row>
    <row r="51" spans="1:9" x14ac:dyDescent="0.35">
      <c r="A51" s="13"/>
      <c r="B51" s="4"/>
      <c r="D51" s="1"/>
    </row>
    <row r="52" spans="1:9" x14ac:dyDescent="0.35">
      <c r="A52" s="13"/>
      <c r="B52" s="13"/>
      <c r="D52" s="1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paperSize="9" scale="63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V71"/>
  <sheetViews>
    <sheetView topLeftCell="A30" zoomScale="70" workbookViewId="0">
      <selection activeCell="F41" sqref="F41"/>
    </sheetView>
  </sheetViews>
  <sheetFormatPr defaultColWidth="9" defaultRowHeight="14.5" x14ac:dyDescent="0.35"/>
  <cols>
    <col min="1" max="1" width="2.7265625" style="1" customWidth="1"/>
    <col min="2" max="2" width="16.54296875" style="1" customWidth="1"/>
    <col min="3" max="3" width="0.54296875" style="1" customWidth="1"/>
    <col min="4" max="4" width="13.54296875" style="6" customWidth="1"/>
    <col min="5" max="5" width="6.1796875" style="1" customWidth="1"/>
    <col min="6" max="6" width="15.1796875" style="1" customWidth="1"/>
    <col min="7" max="7" width="0.6328125" style="1" customWidth="1"/>
    <col min="8" max="8" width="9.1796875" style="1" customWidth="1"/>
    <col min="9" max="9" width="3.90625" style="1" customWidth="1"/>
    <col min="10" max="10" width="6.08984375" style="1" customWidth="1"/>
    <col min="11" max="11" width="9.1796875" style="1" customWidth="1"/>
    <col min="12" max="12" width="27" style="1" customWidth="1"/>
    <col min="13" max="17" width="9.1796875" style="1" customWidth="1"/>
    <col min="18" max="18" width="0" style="1" hidden="1"/>
    <col min="19" max="256" width="9.1796875" style="1" customWidth="1"/>
  </cols>
  <sheetData>
    <row r="1" spans="2:15" ht="24" customHeight="1" x14ac:dyDescent="0.55000000000000004">
      <c r="B1" s="2" t="s">
        <v>164</v>
      </c>
    </row>
    <row r="2" spans="2:15" ht="24" customHeight="1" x14ac:dyDescent="0.35">
      <c r="B2" s="1" t="str">
        <f>'1A'!B2</f>
        <v>P.O BOX 9473-00200 NAIROBI</v>
      </c>
      <c r="N2" s="1" t="s">
        <v>115</v>
      </c>
      <c r="O2" s="1" t="s">
        <v>114</v>
      </c>
    </row>
    <row r="3" spans="2:15" ht="24" customHeight="1" x14ac:dyDescent="0.45">
      <c r="B3" s="3" t="s">
        <v>0</v>
      </c>
      <c r="N3" s="1">
        <f>O3-Q3</f>
        <v>10270</v>
      </c>
      <c r="O3" s="1">
        <v>10270</v>
      </c>
    </row>
    <row r="4" spans="2:15" ht="24" customHeight="1" x14ac:dyDescent="0.35">
      <c r="H4" s="1" t="s">
        <v>6</v>
      </c>
      <c r="I4" s="1">
        <f>'1A'!H3+35-1</f>
        <v>72</v>
      </c>
      <c r="J4" s="1">
        <f>'1A'!H3+35-1</f>
        <v>72</v>
      </c>
      <c r="N4" s="1">
        <f t="shared" ref="N4:N38" si="0">O4-Q4</f>
        <v>10304</v>
      </c>
      <c r="O4" s="1">
        <v>10304</v>
      </c>
    </row>
    <row r="5" spans="2:15" ht="24" customHeight="1" x14ac:dyDescent="0.35">
      <c r="N5" s="1">
        <f t="shared" si="0"/>
        <v>10988</v>
      </c>
      <c r="O5" s="1">
        <v>10988</v>
      </c>
    </row>
    <row r="6" spans="2:15" ht="24" customHeight="1" x14ac:dyDescent="0.35">
      <c r="B6" s="1" t="s">
        <v>7</v>
      </c>
      <c r="D6" s="34" t="str">
        <f>meter!B38</f>
        <v>ASMA</v>
      </c>
      <c r="N6" s="1">
        <f t="shared" si="0"/>
        <v>11070</v>
      </c>
      <c r="O6" s="1">
        <v>11070</v>
      </c>
    </row>
    <row r="7" spans="2:15" ht="24" customHeight="1" x14ac:dyDescent="0.35">
      <c r="N7" s="1">
        <f t="shared" si="0"/>
        <v>1197</v>
      </c>
      <c r="O7" s="1">
        <v>1197</v>
      </c>
    </row>
    <row r="8" spans="2:15" ht="24" customHeight="1" x14ac:dyDescent="0.35">
      <c r="B8" s="1" t="s">
        <v>57</v>
      </c>
      <c r="D8" s="35" t="s">
        <v>148</v>
      </c>
      <c r="N8" s="1">
        <f t="shared" si="0"/>
        <v>9250</v>
      </c>
      <c r="O8" s="1">
        <v>9250</v>
      </c>
    </row>
    <row r="9" spans="2:15" ht="24" customHeight="1" x14ac:dyDescent="0.35">
      <c r="D9" s="38"/>
      <c r="N9" s="1">
        <f t="shared" si="0"/>
        <v>8770</v>
      </c>
      <c r="O9" s="1">
        <v>8770</v>
      </c>
    </row>
    <row r="10" spans="2:15" ht="24" customHeight="1" x14ac:dyDescent="0.35">
      <c r="B10" s="1" t="s">
        <v>1</v>
      </c>
      <c r="D10" s="36" t="str">
        <f>'1A'!C9</f>
        <v>30TH JAN 2026</v>
      </c>
      <c r="N10" s="1">
        <f t="shared" si="0"/>
        <v>23190</v>
      </c>
      <c r="O10" s="1">
        <v>23190</v>
      </c>
    </row>
    <row r="11" spans="2:15" ht="24" customHeight="1" x14ac:dyDescent="0.35">
      <c r="N11" s="1">
        <f t="shared" si="0"/>
        <v>10910</v>
      </c>
      <c r="O11" s="1">
        <v>10910</v>
      </c>
    </row>
    <row r="12" spans="2:15" ht="24" customHeight="1" x14ac:dyDescent="0.35">
      <c r="B12" s="1" t="s">
        <v>2</v>
      </c>
      <c r="D12" s="36" t="str">
        <f>'1A'!C11</f>
        <v>5TH FEB 2026</v>
      </c>
      <c r="N12" s="1">
        <f t="shared" si="0"/>
        <v>10910</v>
      </c>
      <c r="O12" s="1">
        <v>10910</v>
      </c>
    </row>
    <row r="13" spans="2:15" ht="24" customHeight="1" x14ac:dyDescent="0.35">
      <c r="N13" s="1">
        <f t="shared" si="0"/>
        <v>12190</v>
      </c>
      <c r="O13" s="1">
        <v>12190</v>
      </c>
    </row>
    <row r="14" spans="2:15" ht="24" customHeight="1" x14ac:dyDescent="0.35">
      <c r="N14" s="1">
        <f t="shared" si="0"/>
        <v>11070</v>
      </c>
      <c r="O14" s="1">
        <v>11070</v>
      </c>
    </row>
    <row r="15" spans="2:15" ht="24" customHeight="1" x14ac:dyDescent="0.35">
      <c r="B15" s="6" t="s">
        <v>3</v>
      </c>
      <c r="D15" s="6" t="s">
        <v>4</v>
      </c>
      <c r="F15" s="1" t="s">
        <v>5</v>
      </c>
      <c r="N15" s="1">
        <f t="shared" si="0"/>
        <v>9090</v>
      </c>
      <c r="O15" s="1">
        <v>9090</v>
      </c>
    </row>
    <row r="16" spans="2:15" ht="24" customHeight="1" x14ac:dyDescent="0.35">
      <c r="B16" s="7">
        <f>meter!E38</f>
        <v>36</v>
      </c>
      <c r="C16" s="7"/>
      <c r="D16" s="5">
        <f>meter!F38</f>
        <v>37</v>
      </c>
      <c r="E16" s="7" t="s">
        <v>18</v>
      </c>
      <c r="F16" s="8">
        <f>D16-B16</f>
        <v>1</v>
      </c>
      <c r="H16" s="1" t="s">
        <v>104</v>
      </c>
      <c r="N16" s="1">
        <f t="shared" si="0"/>
        <v>9420</v>
      </c>
      <c r="O16" s="1">
        <v>9420</v>
      </c>
    </row>
    <row r="17" spans="2:15" ht="24" customHeight="1" x14ac:dyDescent="0.35">
      <c r="F17" s="1" t="s">
        <v>62</v>
      </c>
      <c r="N17" s="1">
        <f t="shared" si="0"/>
        <v>11154</v>
      </c>
      <c r="O17" s="1">
        <v>11154</v>
      </c>
    </row>
    <row r="18" spans="2:15" ht="24" customHeight="1" x14ac:dyDescent="0.35">
      <c r="D18" s="6" t="s">
        <v>31</v>
      </c>
      <c r="E18" s="1" t="s">
        <v>22</v>
      </c>
      <c r="F18" s="10">
        <f>meter!O38</f>
        <v>0</v>
      </c>
      <c r="N18" s="1">
        <f t="shared" si="0"/>
        <v>10430</v>
      </c>
      <c r="O18" s="1">
        <v>10430</v>
      </c>
    </row>
    <row r="19" spans="2:15" ht="24" customHeight="1" x14ac:dyDescent="0.35">
      <c r="B19" s="9"/>
      <c r="N19" s="1">
        <f t="shared" si="0"/>
        <v>11831</v>
      </c>
      <c r="O19" s="1">
        <v>11831</v>
      </c>
    </row>
    <row r="20" spans="2:15" ht="24" customHeight="1" x14ac:dyDescent="0.35">
      <c r="D20" s="6" t="s">
        <v>9</v>
      </c>
      <c r="E20" s="1" t="s">
        <v>17</v>
      </c>
      <c r="F20" s="1">
        <f>meter!I38</f>
        <v>150</v>
      </c>
      <c r="N20" s="1">
        <f t="shared" si="0"/>
        <v>10590</v>
      </c>
      <c r="O20" s="1">
        <v>10590</v>
      </c>
    </row>
    <row r="21" spans="2:15" ht="24" customHeight="1" x14ac:dyDescent="0.35">
      <c r="N21" s="1">
        <f t="shared" si="0"/>
        <v>22423</v>
      </c>
      <c r="O21" s="1">
        <v>22423</v>
      </c>
    </row>
    <row r="22" spans="2:15" ht="24" customHeight="1" x14ac:dyDescent="0.35">
      <c r="D22" s="6" t="s">
        <v>80</v>
      </c>
      <c r="E22" s="1" t="s">
        <v>17</v>
      </c>
      <c r="F22" s="1">
        <f>'1A'!E21</f>
        <v>0</v>
      </c>
      <c r="N22" s="1">
        <f t="shared" si="0"/>
        <v>9250</v>
      </c>
      <c r="O22" s="1">
        <v>9250</v>
      </c>
    </row>
    <row r="23" spans="2:15" ht="24" customHeight="1" x14ac:dyDescent="0.35">
      <c r="N23" s="1">
        <f t="shared" si="0"/>
        <v>10162</v>
      </c>
      <c r="O23" s="1">
        <v>10162</v>
      </c>
    </row>
    <row r="24" spans="2:15" ht="24" customHeight="1" x14ac:dyDescent="0.35">
      <c r="D24" s="6" t="s">
        <v>25</v>
      </c>
      <c r="E24" s="1" t="s">
        <v>17</v>
      </c>
      <c r="F24" s="10">
        <f>meter!N38</f>
        <v>7000</v>
      </c>
      <c r="N24" s="1">
        <f t="shared" si="0"/>
        <v>10270</v>
      </c>
      <c r="O24" s="1">
        <v>10270</v>
      </c>
    </row>
    <row r="25" spans="2:15" ht="24" customHeight="1" x14ac:dyDescent="0.35">
      <c r="F25" s="10"/>
      <c r="N25" s="1">
        <f t="shared" si="0"/>
        <v>11070</v>
      </c>
      <c r="O25" s="1">
        <v>11070</v>
      </c>
    </row>
    <row r="26" spans="2:15" ht="24" customHeight="1" x14ac:dyDescent="0.35">
      <c r="D26" s="6" t="str">
        <f>'1A'!C25</f>
        <v>SECURITY</v>
      </c>
      <c r="E26" s="1" t="str">
        <f>'1A'!D25</f>
        <v>Kshs.</v>
      </c>
      <c r="F26" s="1">
        <f>'1A'!E25</f>
        <v>0</v>
      </c>
      <c r="N26" s="1">
        <f t="shared" si="0"/>
        <v>11550</v>
      </c>
      <c r="O26" s="1">
        <v>11550</v>
      </c>
    </row>
    <row r="27" spans="2:15" ht="24" customHeight="1" x14ac:dyDescent="0.35">
      <c r="D27" s="37" t="s">
        <v>117</v>
      </c>
      <c r="E27" s="11" t="s">
        <v>22</v>
      </c>
      <c r="F27" s="10">
        <v>0</v>
      </c>
      <c r="N27" s="1">
        <f t="shared" si="0"/>
        <v>11393</v>
      </c>
      <c r="O27" s="1">
        <v>11393</v>
      </c>
    </row>
    <row r="28" spans="2:15" s="1" customFormat="1" ht="24" customHeight="1" x14ac:dyDescent="0.35">
      <c r="D28" s="6" t="s">
        <v>10</v>
      </c>
      <c r="E28" s="1" t="s">
        <v>17</v>
      </c>
      <c r="F28" s="10">
        <f>IF(F18*4%*1&lt;0,0,F18*4%*1)</f>
        <v>0</v>
      </c>
      <c r="N28" s="1">
        <f t="shared" si="0"/>
        <v>10802</v>
      </c>
      <c r="O28" s="1">
        <v>10802</v>
      </c>
    </row>
    <row r="29" spans="2:15" ht="24" customHeight="1" x14ac:dyDescent="0.35">
      <c r="F29" s="10"/>
      <c r="L29" s="1" t="s">
        <v>43</v>
      </c>
      <c r="N29" s="1">
        <f t="shared" si="0"/>
        <v>8930</v>
      </c>
      <c r="O29" s="1">
        <v>8930</v>
      </c>
    </row>
    <row r="30" spans="2:15" ht="24" customHeight="1" x14ac:dyDescent="0.35">
      <c r="D30" s="6" t="s">
        <v>11</v>
      </c>
      <c r="E30" s="1" t="s">
        <v>22</v>
      </c>
      <c r="F30" s="10">
        <f>SUM(F17:F29)</f>
        <v>7150</v>
      </c>
      <c r="H30" s="12"/>
      <c r="N30" s="1">
        <f t="shared" si="0"/>
        <v>9570</v>
      </c>
      <c r="O30" s="1">
        <v>9570</v>
      </c>
    </row>
    <row r="31" spans="2:15" ht="24" customHeight="1" x14ac:dyDescent="0.35">
      <c r="F31" s="10"/>
      <c r="N31" s="1">
        <f t="shared" si="0"/>
        <v>11390</v>
      </c>
      <c r="O31" s="1">
        <v>11390</v>
      </c>
    </row>
    <row r="32" spans="2:15" ht="24" customHeight="1" x14ac:dyDescent="0.35">
      <c r="D32" s="6" t="s">
        <v>34</v>
      </c>
      <c r="F32" s="10">
        <f>meter!T38</f>
        <v>0</v>
      </c>
      <c r="N32" s="1">
        <f t="shared" si="0"/>
        <v>10750</v>
      </c>
      <c r="O32" s="1">
        <v>10750</v>
      </c>
    </row>
    <row r="33" spans="1:18" ht="24" customHeight="1" x14ac:dyDescent="0.35">
      <c r="F33" s="10"/>
      <c r="N33" s="1">
        <f t="shared" si="0"/>
        <v>11732</v>
      </c>
      <c r="O33" s="1">
        <v>11732</v>
      </c>
    </row>
    <row r="34" spans="1:18" ht="24" customHeight="1" x14ac:dyDescent="0.35">
      <c r="D34" s="6" t="s">
        <v>87</v>
      </c>
      <c r="F34" s="12">
        <f>F30-F32</f>
        <v>7150</v>
      </c>
      <c r="N34" s="1">
        <f t="shared" si="0"/>
        <v>10934</v>
      </c>
      <c r="O34" s="1">
        <v>10934</v>
      </c>
      <c r="R34" s="1">
        <v>700</v>
      </c>
    </row>
    <row r="35" spans="1:18" x14ac:dyDescent="0.35">
      <c r="A35" s="21"/>
      <c r="C35" s="6"/>
      <c r="D35" s="1"/>
      <c r="N35" s="1">
        <f t="shared" si="0"/>
        <v>10270</v>
      </c>
      <c r="O35" s="1">
        <v>10270</v>
      </c>
    </row>
    <row r="36" spans="1:18" ht="23.5" x14ac:dyDescent="0.55000000000000004">
      <c r="A36" s="13"/>
      <c r="C36" s="6"/>
      <c r="D36" s="139" t="s">
        <v>249</v>
      </c>
      <c r="L36" s="30"/>
      <c r="N36" s="1">
        <f t="shared" si="0"/>
        <v>10598</v>
      </c>
      <c r="O36" s="1">
        <v>10598</v>
      </c>
    </row>
    <row r="37" spans="1:18" x14ac:dyDescent="0.35">
      <c r="A37" s="13"/>
      <c r="C37" s="6"/>
      <c r="D37" s="1"/>
      <c r="N37" s="1">
        <f t="shared" si="0"/>
        <v>8770</v>
      </c>
      <c r="O37" s="1">
        <v>8770</v>
      </c>
    </row>
    <row r="38" spans="1:18" x14ac:dyDescent="0.35">
      <c r="A38" s="13"/>
      <c r="C38" s="6"/>
      <c r="D38" s="1"/>
      <c r="K38" s="30"/>
      <c r="N38" s="1">
        <f t="shared" si="0"/>
        <v>8770</v>
      </c>
      <c r="O38" s="1">
        <v>8770</v>
      </c>
    </row>
    <row r="39" spans="1:18" x14ac:dyDescent="0.35">
      <c r="B39" s="21"/>
      <c r="O39" s="1">
        <f>SUM(O3:O38)</f>
        <v>391268</v>
      </c>
      <c r="Q39" s="1">
        <f>SUM(Q3:Q38)</f>
        <v>0</v>
      </c>
    </row>
    <row r="40" spans="1:18" hidden="1" x14ac:dyDescent="0.35">
      <c r="B40" s="13"/>
    </row>
    <row r="41" spans="1:18" x14ac:dyDescent="0.35">
      <c r="B41" s="13"/>
    </row>
    <row r="42" spans="1:18" x14ac:dyDescent="0.35">
      <c r="B42" s="13"/>
    </row>
    <row r="43" spans="1:18" x14ac:dyDescent="0.35">
      <c r="B43" s="4"/>
    </row>
    <row r="44" spans="1:18" x14ac:dyDescent="0.35">
      <c r="B44" s="14"/>
      <c r="D44" s="1"/>
    </row>
    <row r="45" spans="1:18" x14ac:dyDescent="0.35">
      <c r="B45" s="14"/>
      <c r="D45" s="1"/>
      <c r="G45" s="15"/>
      <c r="H45" s="15"/>
      <c r="I45" s="15"/>
    </row>
    <row r="46" spans="1:18" x14ac:dyDescent="0.35">
      <c r="A46" s="15"/>
      <c r="B46" s="14"/>
      <c r="D46" s="1"/>
    </row>
    <row r="47" spans="1:18" x14ac:dyDescent="0.35">
      <c r="B47" s="14"/>
      <c r="D47" s="1"/>
    </row>
    <row r="48" spans="1:18" x14ac:dyDescent="0.35">
      <c r="B48" s="15"/>
      <c r="C48" s="15"/>
      <c r="D48" s="15"/>
      <c r="E48" s="15"/>
      <c r="F48" s="15"/>
    </row>
    <row r="49" spans="1:9" x14ac:dyDescent="0.35">
      <c r="B49" s="15"/>
      <c r="D49" s="1"/>
    </row>
    <row r="50" spans="1:9" x14ac:dyDescent="0.35">
      <c r="A50" s="13"/>
      <c r="B50" s="14"/>
      <c r="D50" s="1"/>
      <c r="G50" s="13"/>
      <c r="H50" s="13"/>
      <c r="I50" s="13"/>
    </row>
    <row r="51" spans="1:9" x14ac:dyDescent="0.35">
      <c r="A51" s="13"/>
      <c r="B51" s="4"/>
      <c r="D51" s="1"/>
    </row>
    <row r="52" spans="1:9" x14ac:dyDescent="0.35">
      <c r="A52" s="13"/>
      <c r="B52" s="13"/>
      <c r="D52" s="1"/>
    </row>
    <row r="53" spans="1:9" x14ac:dyDescent="0.35">
      <c r="A53" s="13"/>
      <c r="B53" s="13"/>
      <c r="C53" s="13"/>
      <c r="D53" s="13"/>
      <c r="E53" s="13"/>
      <c r="F53" s="13"/>
    </row>
    <row r="54" spans="1:9" ht="24" customHeight="1" x14ac:dyDescent="0.35"/>
    <row r="55" spans="1:9" ht="24" customHeight="1" x14ac:dyDescent="0.35"/>
    <row r="56" spans="1:9" ht="24" customHeight="1" x14ac:dyDescent="0.35"/>
    <row r="57" spans="1:9" ht="24" customHeight="1" x14ac:dyDescent="0.35"/>
    <row r="58" spans="1:9" ht="24" customHeight="1" x14ac:dyDescent="0.35"/>
    <row r="59" spans="1:9" ht="24" customHeight="1" x14ac:dyDescent="0.35"/>
    <row r="60" spans="1:9" ht="24" customHeight="1" x14ac:dyDescent="0.35"/>
    <row r="61" spans="1:9" ht="24" customHeight="1" x14ac:dyDescent="0.35"/>
    <row r="62" spans="1:9" ht="24" customHeight="1" x14ac:dyDescent="0.35"/>
    <row r="63" spans="1:9" ht="24" customHeight="1" x14ac:dyDescent="0.35"/>
    <row r="64" spans="1:9" ht="24" customHeight="1" x14ac:dyDescent="0.35"/>
    <row r="65" ht="24" customHeight="1" x14ac:dyDescent="0.35"/>
    <row r="66" ht="24" customHeight="1" x14ac:dyDescent="0.35"/>
    <row r="67" ht="24" customHeight="1" x14ac:dyDescent="0.35"/>
    <row r="68" ht="24" customHeight="1" x14ac:dyDescent="0.35"/>
    <row r="69" ht="24" customHeight="1" x14ac:dyDescent="0.35"/>
    <row r="70" ht="24" customHeight="1" x14ac:dyDescent="0.35"/>
    <row r="71" ht="24" customHeight="1" x14ac:dyDescent="0.35"/>
  </sheetData>
  <pageMargins left="0.7" right="0.7" top="0.75" bottom="0.75" header="0.3" footer="0.3"/>
  <pageSetup paperSize="9" scale="4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V52"/>
  <sheetViews>
    <sheetView zoomScale="60" workbookViewId="0">
      <selection activeCell="A18" sqref="A18"/>
    </sheetView>
  </sheetViews>
  <sheetFormatPr defaultColWidth="9" defaultRowHeight="14.5" x14ac:dyDescent="0.35"/>
  <cols>
    <col min="1" max="1" width="3.7265625" style="40" customWidth="1"/>
    <col min="2" max="2" width="16.26953125" style="40" customWidth="1"/>
    <col min="3" max="3" width="0" style="40" hidden="1"/>
    <col min="4" max="4" width="28.54296875" style="40" customWidth="1"/>
    <col min="5" max="15" width="9.1796875" style="40" customWidth="1"/>
    <col min="16" max="16" width="0" style="40" hidden="1"/>
    <col min="17" max="256" width="9.1796875" style="40" customWidth="1"/>
  </cols>
  <sheetData>
    <row r="1" spans="1:9" ht="23.5" x14ac:dyDescent="0.55000000000000004">
      <c r="B1" s="41" t="s">
        <v>105</v>
      </c>
    </row>
    <row r="2" spans="1:9" x14ac:dyDescent="0.35">
      <c r="B2" s="40" t="str">
        <f>'1A'!B2</f>
        <v>P.O BOX 9473-00200 NAIROBI</v>
      </c>
    </row>
    <row r="3" spans="1:9" ht="18.5" x14ac:dyDescent="0.45">
      <c r="B3" s="42" t="s">
        <v>0</v>
      </c>
    </row>
    <row r="4" spans="1:9" x14ac:dyDescent="0.35">
      <c r="B4" s="1"/>
      <c r="C4" s="1"/>
      <c r="D4" s="1"/>
      <c r="E4" s="1"/>
      <c r="F4" s="1"/>
      <c r="G4" s="1"/>
      <c r="H4" s="1" t="s">
        <v>6</v>
      </c>
      <c r="I4" s="1">
        <f>'1A'!H3+36-1</f>
        <v>73</v>
      </c>
    </row>
    <row r="5" spans="1:9" x14ac:dyDescent="0.35">
      <c r="A5" s="43"/>
      <c r="B5" s="1"/>
      <c r="C5" s="1"/>
      <c r="D5" s="1"/>
      <c r="E5" s="1"/>
      <c r="F5" s="1"/>
      <c r="G5" s="1"/>
      <c r="H5" s="1"/>
      <c r="I5" s="1"/>
    </row>
    <row r="6" spans="1:9" x14ac:dyDescent="0.35">
      <c r="A6" s="44"/>
      <c r="B6" s="1" t="s">
        <v>7</v>
      </c>
      <c r="C6" s="1"/>
      <c r="D6" s="4" t="s">
        <v>101</v>
      </c>
      <c r="E6" s="1"/>
      <c r="F6" s="1"/>
      <c r="G6" s="1"/>
      <c r="H6" s="1"/>
      <c r="I6" s="1"/>
    </row>
    <row r="7" spans="1:9" x14ac:dyDescent="0.35">
      <c r="A7" s="44"/>
      <c r="B7" s="1"/>
      <c r="C7" s="1"/>
      <c r="D7" s="1"/>
      <c r="E7" s="1"/>
      <c r="F7" s="1"/>
      <c r="G7" s="1"/>
      <c r="H7" s="1"/>
      <c r="I7" s="1"/>
    </row>
    <row r="8" spans="1:9" x14ac:dyDescent="0.35">
      <c r="A8" s="44"/>
      <c r="B8" s="1" t="s">
        <v>57</v>
      </c>
      <c r="C8" s="1"/>
      <c r="D8" s="1" t="s">
        <v>99</v>
      </c>
      <c r="E8" s="1"/>
      <c r="F8" s="1"/>
      <c r="G8" s="1"/>
      <c r="H8" s="1"/>
      <c r="I8" s="1"/>
    </row>
    <row r="9" spans="1:9" x14ac:dyDescent="0.35">
      <c r="A9" s="44"/>
      <c r="B9" s="1"/>
      <c r="C9" s="1"/>
      <c r="D9" s="25"/>
      <c r="E9" s="1"/>
      <c r="F9" s="1"/>
      <c r="G9" s="1"/>
      <c r="H9" s="1"/>
      <c r="I9" s="1"/>
    </row>
    <row r="10" spans="1:9" x14ac:dyDescent="0.35">
      <c r="A10" s="44"/>
      <c r="B10" s="1" t="s">
        <v>1</v>
      </c>
      <c r="C10" s="1"/>
      <c r="D10" s="19" t="str">
        <f>'1A'!C9</f>
        <v>30TH JAN 2026</v>
      </c>
      <c r="E10" s="1"/>
      <c r="F10" s="1"/>
      <c r="G10" s="1"/>
      <c r="H10" s="1"/>
      <c r="I10" s="1"/>
    </row>
    <row r="11" spans="1:9" x14ac:dyDescent="0.35">
      <c r="A11" s="44"/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44"/>
      <c r="B12" s="1" t="s">
        <v>2</v>
      </c>
      <c r="C12" s="1"/>
      <c r="D12" s="19" t="str">
        <f>'1A'!C11</f>
        <v>5TH FEB 2026</v>
      </c>
      <c r="E12" s="1"/>
      <c r="F12" s="1"/>
      <c r="G12" s="1"/>
      <c r="H12" s="1"/>
      <c r="I12" s="1"/>
    </row>
    <row r="13" spans="1:9" x14ac:dyDescent="0.35">
      <c r="A13" s="44"/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 s="44"/>
      <c r="B14" s="1"/>
      <c r="C14" s="1"/>
      <c r="D14" s="1"/>
      <c r="E14" s="1"/>
      <c r="F14" s="1"/>
      <c r="G14" s="1"/>
      <c r="H14" s="1"/>
      <c r="I14" s="1"/>
    </row>
    <row r="15" spans="1:9" ht="29" x14ac:dyDescent="0.35">
      <c r="A15" s="44"/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</row>
    <row r="16" spans="1:9" x14ac:dyDescent="0.35">
      <c r="A16" s="44"/>
      <c r="B16" s="7" t="e">
        <f>meter!#REF!</f>
        <v>#REF!</v>
      </c>
      <c r="C16" s="7"/>
      <c r="D16" s="7" t="e">
        <f>meter!#REF!</f>
        <v>#REF!</v>
      </c>
      <c r="E16" s="7" t="s">
        <v>18</v>
      </c>
      <c r="F16" s="8" t="e">
        <f>D16-B16</f>
        <v>#REF!</v>
      </c>
      <c r="G16" s="1"/>
      <c r="H16" s="1"/>
      <c r="I16" s="1"/>
    </row>
    <row r="17" spans="1:9" x14ac:dyDescent="0.35">
      <c r="A17" s="44"/>
      <c r="B17" s="1"/>
      <c r="C17" s="1"/>
      <c r="D17" s="1"/>
      <c r="E17" s="1"/>
      <c r="F17" s="1" t="s">
        <v>62</v>
      </c>
      <c r="G17" s="1"/>
      <c r="H17" s="1"/>
      <c r="I17" s="1"/>
    </row>
    <row r="18" spans="1:9" x14ac:dyDescent="0.35">
      <c r="A18" s="44"/>
      <c r="B18" s="1"/>
      <c r="C18" s="1"/>
      <c r="D18" s="1" t="s">
        <v>31</v>
      </c>
      <c r="E18" s="1" t="s">
        <v>22</v>
      </c>
      <c r="F18" s="10">
        <f>meter!O38</f>
        <v>0</v>
      </c>
      <c r="G18" s="1"/>
      <c r="H18" s="1"/>
      <c r="I18" s="1"/>
    </row>
    <row r="19" spans="1:9" ht="15.5" x14ac:dyDescent="0.35">
      <c r="A19" s="44"/>
      <c r="B19" s="9"/>
      <c r="C19" s="1"/>
      <c r="D19" s="1"/>
      <c r="E19" s="1"/>
      <c r="F19" s="1"/>
      <c r="G19" s="1"/>
      <c r="H19" s="1"/>
      <c r="I19" s="1"/>
    </row>
    <row r="20" spans="1:9" x14ac:dyDescent="0.35">
      <c r="A20" s="44"/>
      <c r="B20" s="1"/>
      <c r="C20" s="1"/>
      <c r="D20" s="1" t="s">
        <v>9</v>
      </c>
      <c r="E20" s="1" t="s">
        <v>17</v>
      </c>
      <c r="F20" s="1">
        <f>meter!I38</f>
        <v>150</v>
      </c>
      <c r="G20" s="1"/>
      <c r="H20" s="1"/>
      <c r="I20" s="1"/>
    </row>
    <row r="21" spans="1:9" x14ac:dyDescent="0.35">
      <c r="A21" s="44"/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44"/>
      <c r="B22" s="1"/>
      <c r="C22" s="1"/>
      <c r="D22" s="1" t="s">
        <v>80</v>
      </c>
      <c r="E22" s="1" t="s">
        <v>17</v>
      </c>
      <c r="F22" s="1">
        <f>'1A'!E21</f>
        <v>0</v>
      </c>
      <c r="G22" s="1"/>
      <c r="H22" s="1"/>
      <c r="I22" s="1"/>
    </row>
    <row r="23" spans="1:9" x14ac:dyDescent="0.35">
      <c r="A23" s="44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44"/>
      <c r="B24" s="1"/>
      <c r="C24" s="1"/>
      <c r="D24" s="1" t="s">
        <v>25</v>
      </c>
      <c r="E24" s="1" t="s">
        <v>17</v>
      </c>
      <c r="F24" s="10" t="e">
        <f>meter!#REF!</f>
        <v>#REF!</v>
      </c>
      <c r="G24" s="1"/>
      <c r="H24" s="1"/>
      <c r="I24" s="1"/>
    </row>
    <row r="25" spans="1:9" x14ac:dyDescent="0.35">
      <c r="A25" s="44"/>
      <c r="B25" s="1"/>
      <c r="C25" s="1"/>
      <c r="D25" s="1"/>
      <c r="E25" s="1"/>
      <c r="F25" s="10"/>
      <c r="G25" s="1"/>
      <c r="H25" s="1"/>
      <c r="I25" s="1"/>
    </row>
    <row r="26" spans="1:9" x14ac:dyDescent="0.35">
      <c r="A26" s="44"/>
      <c r="B26" s="1"/>
      <c r="C26" s="1"/>
      <c r="D26" s="1" t="str">
        <f>'1A'!C25</f>
        <v>SECURITY</v>
      </c>
      <c r="E26" s="1" t="str">
        <f>'1A'!D25</f>
        <v>Kshs.</v>
      </c>
      <c r="F26" s="1" t="e">
        <f>meter!#REF!</f>
        <v>#REF!</v>
      </c>
      <c r="G26" s="1"/>
      <c r="H26" s="1"/>
      <c r="I26" s="1"/>
    </row>
    <row r="27" spans="1:9" x14ac:dyDescent="0.35">
      <c r="A27" s="44"/>
      <c r="B27" s="1"/>
      <c r="C27" s="1"/>
      <c r="D27" s="1"/>
      <c r="E27" s="1"/>
      <c r="F27" s="10"/>
      <c r="G27" s="1"/>
      <c r="H27" s="1"/>
      <c r="I27" s="1"/>
    </row>
    <row r="28" spans="1:9" x14ac:dyDescent="0.35">
      <c r="A28" s="44"/>
      <c r="B28" s="1"/>
      <c r="C28" s="1"/>
      <c r="D28" s="1" t="s">
        <v>10</v>
      </c>
      <c r="E28" s="1" t="s">
        <v>17</v>
      </c>
      <c r="F28" s="10">
        <f>IF(F18*2%*3&lt;0,0,F18*2%*3)</f>
        <v>0</v>
      </c>
      <c r="G28" s="1"/>
      <c r="H28" s="1"/>
      <c r="I28" s="1"/>
    </row>
    <row r="29" spans="1:9" x14ac:dyDescent="0.35">
      <c r="A29" s="44"/>
      <c r="B29" s="1"/>
      <c r="C29" s="1"/>
      <c r="D29" s="1"/>
      <c r="E29" s="1"/>
      <c r="F29" s="10"/>
      <c r="G29" s="1"/>
      <c r="H29" s="1"/>
      <c r="I29" s="1"/>
    </row>
    <row r="30" spans="1:9" x14ac:dyDescent="0.35">
      <c r="A30" s="44"/>
      <c r="B30" s="1"/>
      <c r="C30" s="1"/>
      <c r="D30" s="1" t="s">
        <v>11</v>
      </c>
      <c r="E30" s="1" t="s">
        <v>22</v>
      </c>
      <c r="F30" s="10" t="e">
        <f>SUM(F17:F29)</f>
        <v>#REF!</v>
      </c>
      <c r="G30" s="1"/>
      <c r="H30" s="12"/>
      <c r="I30" s="1"/>
    </row>
    <row r="31" spans="1:9" x14ac:dyDescent="0.35">
      <c r="A31" s="44"/>
      <c r="B31" s="1"/>
      <c r="C31" s="1"/>
      <c r="D31" s="1"/>
      <c r="E31" s="1"/>
      <c r="F31" s="10"/>
      <c r="G31" s="1"/>
      <c r="H31" s="1"/>
      <c r="I31" s="1"/>
    </row>
    <row r="32" spans="1:9" x14ac:dyDescent="0.35">
      <c r="A32" s="44"/>
      <c r="B32" s="1"/>
      <c r="C32" s="1"/>
      <c r="D32" s="1" t="s">
        <v>34</v>
      </c>
      <c r="E32" s="1"/>
      <c r="F32" s="10">
        <f>meter!T38</f>
        <v>0</v>
      </c>
      <c r="G32" s="1"/>
      <c r="H32" s="1"/>
      <c r="I32" s="1"/>
    </row>
    <row r="33" spans="1:9" x14ac:dyDescent="0.35">
      <c r="A33" s="44"/>
      <c r="B33" s="1"/>
      <c r="C33" s="1"/>
      <c r="D33" s="1"/>
      <c r="E33" s="1"/>
      <c r="F33" s="10"/>
      <c r="G33" s="1"/>
      <c r="H33" s="1"/>
      <c r="I33" s="1"/>
    </row>
    <row r="34" spans="1:9" x14ac:dyDescent="0.35">
      <c r="A34" s="44"/>
      <c r="B34" s="1"/>
      <c r="C34" s="1"/>
      <c r="D34" s="1" t="s">
        <v>87</v>
      </c>
      <c r="E34" s="1"/>
      <c r="F34" s="12" t="e">
        <f>F30-F32</f>
        <v>#REF!</v>
      </c>
      <c r="G34" s="1"/>
      <c r="H34" s="1"/>
      <c r="I34" s="1"/>
    </row>
    <row r="35" spans="1:9" ht="15.5" x14ac:dyDescent="0.35">
      <c r="C35" s="45" t="s">
        <v>12</v>
      </c>
    </row>
    <row r="36" spans="1:9" x14ac:dyDescent="0.35">
      <c r="A36" s="40" t="s">
        <v>65</v>
      </c>
      <c r="B36" s="46" t="s">
        <v>52</v>
      </c>
      <c r="I36" s="47"/>
    </row>
    <row r="37" spans="1:9" x14ac:dyDescent="0.35">
      <c r="A37" s="40" t="s">
        <v>66</v>
      </c>
      <c r="B37" s="46" t="s">
        <v>53</v>
      </c>
      <c r="I37" s="47"/>
    </row>
    <row r="38" spans="1:9" x14ac:dyDescent="0.35">
      <c r="B38" s="46"/>
      <c r="I38" s="47"/>
    </row>
    <row r="39" spans="1:9" x14ac:dyDescent="0.35">
      <c r="A39" s="40" t="s">
        <v>67</v>
      </c>
      <c r="B39" s="46" t="s">
        <v>54</v>
      </c>
      <c r="I39" s="47"/>
    </row>
    <row r="40" spans="1:9" hidden="1" x14ac:dyDescent="0.35">
      <c r="B40" s="46"/>
      <c r="I40" s="47"/>
    </row>
    <row r="41" spans="1:9" x14ac:dyDescent="0.35">
      <c r="A41" s="40" t="s">
        <v>68</v>
      </c>
      <c r="B41" s="46" t="s">
        <v>51</v>
      </c>
      <c r="I41" s="47"/>
    </row>
    <row r="42" spans="1:9" x14ac:dyDescent="0.35">
      <c r="A42" s="40" t="s">
        <v>69</v>
      </c>
      <c r="B42" s="46" t="s">
        <v>72</v>
      </c>
      <c r="I42" s="47"/>
    </row>
    <row r="43" spans="1:9" x14ac:dyDescent="0.35">
      <c r="A43" s="40" t="s">
        <v>70</v>
      </c>
      <c r="B43" s="48" t="s">
        <v>103</v>
      </c>
      <c r="I43" s="47"/>
    </row>
    <row r="44" spans="1:9" x14ac:dyDescent="0.35">
      <c r="B44" s="48" t="s">
        <v>49</v>
      </c>
      <c r="I44" s="49"/>
    </row>
    <row r="45" spans="1:9" x14ac:dyDescent="0.35">
      <c r="A45" s="50"/>
      <c r="B45" s="48" t="s">
        <v>94</v>
      </c>
      <c r="G45" s="50"/>
      <c r="H45" s="50"/>
      <c r="I45" s="47"/>
    </row>
    <row r="46" spans="1:9" x14ac:dyDescent="0.35">
      <c r="B46" s="48" t="s">
        <v>14</v>
      </c>
      <c r="I46" s="47"/>
    </row>
    <row r="47" spans="1:9" x14ac:dyDescent="0.35">
      <c r="B47" s="48" t="s">
        <v>95</v>
      </c>
      <c r="I47" s="47"/>
    </row>
    <row r="48" spans="1:9" x14ac:dyDescent="0.35">
      <c r="B48" s="50" t="s">
        <v>55</v>
      </c>
      <c r="C48" s="50"/>
      <c r="D48" s="50"/>
      <c r="E48" s="50"/>
      <c r="F48" s="50"/>
      <c r="I48" s="47"/>
    </row>
    <row r="49" spans="1:9" x14ac:dyDescent="0.35">
      <c r="A49" s="46"/>
      <c r="B49" s="50" t="s">
        <v>13</v>
      </c>
      <c r="I49" s="47"/>
    </row>
    <row r="50" spans="1:9" x14ac:dyDescent="0.35">
      <c r="A50" s="40" t="s">
        <v>71</v>
      </c>
      <c r="B50" s="48" t="s">
        <v>50</v>
      </c>
      <c r="G50" s="46"/>
      <c r="H50" s="46"/>
      <c r="I50" s="47"/>
    </row>
    <row r="51" spans="1:9" x14ac:dyDescent="0.35">
      <c r="A51" s="46"/>
      <c r="B51" s="46" t="s">
        <v>29</v>
      </c>
      <c r="C51" s="48"/>
    </row>
    <row r="52" spans="1:9" x14ac:dyDescent="0.35">
      <c r="A52" s="46"/>
      <c r="B52" s="46" t="s">
        <v>15</v>
      </c>
      <c r="C52" s="46"/>
    </row>
  </sheetData>
  <pageMargins left="0.7" right="0.7" top="0.75" bottom="0.75" header="0.3" footer="0.3"/>
  <pageSetup paperSize="9" scale="8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V42"/>
  <sheetViews>
    <sheetView topLeftCell="A30" workbookViewId="0">
      <selection activeCell="E47" sqref="E46:E47"/>
    </sheetView>
  </sheetViews>
  <sheetFormatPr defaultColWidth="9" defaultRowHeight="14.5" x14ac:dyDescent="0.35"/>
  <cols>
    <col min="1" max="1" width="0.36328125" style="1" customWidth="1"/>
    <col min="2" max="2" width="18.1796875" style="1" customWidth="1"/>
    <col min="3" max="3" width="3.90625" style="1" customWidth="1"/>
    <col min="4" max="4" width="17.81640625" style="1" customWidth="1"/>
    <col min="5" max="5" width="13.1796875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1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4" si="0">O4-Q4</f>
        <v>10304</v>
      </c>
      <c r="O4" s="1">
        <v>10304</v>
      </c>
    </row>
    <row r="5" spans="2:15" customForma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4" t="str">
        <f>meter!B39</f>
        <v>ZAHRA           AISHA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22" t="s">
        <v>149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19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19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meter!E39</f>
        <v>57</v>
      </c>
      <c r="C16" s="7"/>
      <c r="D16" s="7">
        <f>meter!F39</f>
        <v>59</v>
      </c>
      <c r="E16" s="7" t="s">
        <v>18</v>
      </c>
      <c r="F16" s="8">
        <f>D16-B16</f>
        <v>2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1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1" t="s">
        <v>31</v>
      </c>
      <c r="E18" s="1" t="s">
        <v>22</v>
      </c>
      <c r="F18" s="1">
        <f>meter!O39</f>
        <v>0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1" t="s">
        <v>9</v>
      </c>
      <c r="E20" s="1" t="s">
        <v>17</v>
      </c>
      <c r="F20" s="1">
        <f>meter!I39</f>
        <v>300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x14ac:dyDescent="0.35">
      <c r="B22" s="1"/>
      <c r="C22" s="1"/>
      <c r="D22" s="1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1" t="s">
        <v>25</v>
      </c>
      <c r="E24" s="1" t="s">
        <v>17</v>
      </c>
      <c r="F24" s="10">
        <f>meter!N39</f>
        <v>7000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1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1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11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1" t="s">
        <v>42</v>
      </c>
      <c r="E28" s="1" t="s">
        <v>17</v>
      </c>
      <c r="F28" s="10">
        <f>IF(F18*4%*1&lt;0,0,F18*4%*1)</f>
        <v>0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1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1" t="s">
        <v>11</v>
      </c>
      <c r="E30" s="1" t="s">
        <v>22</v>
      </c>
      <c r="F30" s="10">
        <f>SUM(F17:F29)</f>
        <v>7300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1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1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1" t="s">
        <v>87</v>
      </c>
      <c r="F34" s="12">
        <f>F30-F32</f>
        <v>7300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7" spans="1:256" ht="15.5" x14ac:dyDescent="0.35">
      <c r="C37" s="9"/>
      <c r="D37" s="6"/>
    </row>
    <row r="38" spans="1:256" x14ac:dyDescent="0.35">
      <c r="A38" s="22"/>
      <c r="B38" s="21" t="s">
        <v>52</v>
      </c>
      <c r="D38" s="6"/>
    </row>
    <row r="39" spans="1:256" x14ac:dyDescent="0.35">
      <c r="B39" s="13" t="s">
        <v>106</v>
      </c>
      <c r="D39" s="6"/>
    </row>
    <row r="40" spans="1:256" x14ac:dyDescent="0.35">
      <c r="B40" s="13"/>
      <c r="D40" s="6"/>
    </row>
    <row r="41" spans="1:256" ht="23.5" x14ac:dyDescent="0.55000000000000004">
      <c r="B41" s="136" t="s">
        <v>250</v>
      </c>
      <c r="D41" s="6"/>
    </row>
    <row r="42" spans="1:256" x14ac:dyDescent="0.35">
      <c r="C42" s="21" t="s">
        <v>173</v>
      </c>
      <c r="E42" s="6"/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V39"/>
  <sheetViews>
    <sheetView topLeftCell="B31" workbookViewId="0">
      <selection activeCell="D43" sqref="D43"/>
    </sheetView>
  </sheetViews>
  <sheetFormatPr defaultColWidth="9" defaultRowHeight="14.5" x14ac:dyDescent="0.35"/>
  <cols>
    <col min="1" max="1" width="9.1796875" style="1" customWidth="1"/>
    <col min="2" max="2" width="21.81640625" style="1" customWidth="1"/>
    <col min="3" max="3" width="9.1796875" style="1" customWidth="1"/>
    <col min="4" max="4" width="19.26953125" style="6" customWidth="1"/>
    <col min="5" max="5" width="13.1796875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6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6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6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7" si="0">O4-Q4</f>
        <v>10304</v>
      </c>
      <c r="O4" s="1">
        <v>10304</v>
      </c>
    </row>
    <row r="5" spans="2:15" customFormat="1" x14ac:dyDescent="0.35">
      <c r="B5" s="1"/>
      <c r="C5" s="1"/>
      <c r="D5" s="6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34" t="str">
        <f>meter!B40</f>
        <v>MUHAMMED NASIR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6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35" t="s">
        <v>150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6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36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6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36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6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6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meter!E40</f>
        <v>10</v>
      </c>
      <c r="C16" s="7"/>
      <c r="D16" s="5">
        <f>meter!F40</f>
        <v>11</v>
      </c>
      <c r="E16" s="7" t="s">
        <v>18</v>
      </c>
      <c r="F16" s="8">
        <f>D16-B16</f>
        <v>1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6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6" t="s">
        <v>31</v>
      </c>
      <c r="E18" s="1" t="s">
        <v>22</v>
      </c>
      <c r="F18" s="1">
        <f>meter!O40</f>
        <v>0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6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6" t="s">
        <v>9</v>
      </c>
      <c r="E20" s="1" t="s">
        <v>17</v>
      </c>
      <c r="F20" s="1">
        <f>meter!I40</f>
        <v>150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6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ht="29" x14ac:dyDescent="0.35">
      <c r="B22" s="1"/>
      <c r="C22" s="1"/>
      <c r="D22" s="6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6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6" t="s">
        <v>25</v>
      </c>
      <c r="E24" s="1" t="s">
        <v>17</v>
      </c>
      <c r="F24" s="10">
        <f>meter!N40</f>
        <v>6500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6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6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37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ht="29" x14ac:dyDescent="0.35">
      <c r="B28" s="1"/>
      <c r="C28" s="1"/>
      <c r="D28" s="6" t="s">
        <v>42</v>
      </c>
      <c r="E28" s="1" t="s">
        <v>17</v>
      </c>
      <c r="F28" s="10">
        <f>IF(F18*4%*1&lt;0,0,F18*4%*1)</f>
        <v>0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6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6" t="s">
        <v>11</v>
      </c>
      <c r="E30" s="1" t="s">
        <v>22</v>
      </c>
      <c r="F30" s="10">
        <f>SUM(F17:F29)</f>
        <v>6650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6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6" t="s">
        <v>34</v>
      </c>
      <c r="E32" s="1"/>
      <c r="F32" s="51">
        <f>meter!T40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6" t="s">
        <v>87</v>
      </c>
      <c r="F34" s="12">
        <f>F30-F32</f>
        <v>6650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x14ac:dyDescent="0.35">
      <c r="B35" s="21" t="s">
        <v>52</v>
      </c>
      <c r="N35" s="1">
        <f t="shared" si="0"/>
        <v>10270</v>
      </c>
      <c r="O35" s="1">
        <v>10270</v>
      </c>
    </row>
    <row r="36" spans="1:256" x14ac:dyDescent="0.35">
      <c r="A36" s="1" t="s">
        <v>65</v>
      </c>
      <c r="B36" s="13" t="s">
        <v>106</v>
      </c>
      <c r="N36" s="1">
        <f t="shared" si="0"/>
        <v>10598</v>
      </c>
      <c r="O36" s="1">
        <v>10598</v>
      </c>
    </row>
    <row r="37" spans="1:256" x14ac:dyDescent="0.35">
      <c r="A37" s="1" t="s">
        <v>66</v>
      </c>
      <c r="B37" s="13"/>
      <c r="N37" s="1">
        <f t="shared" si="0"/>
        <v>8770</v>
      </c>
      <c r="O37" s="1">
        <v>8770</v>
      </c>
    </row>
    <row r="38" spans="1:256" ht="21" x14ac:dyDescent="0.5">
      <c r="B38" s="142" t="s">
        <v>251</v>
      </c>
      <c r="L38" s="30"/>
    </row>
    <row r="39" spans="1:256" x14ac:dyDescent="0.35">
      <c r="C39" s="21" t="s">
        <v>173</v>
      </c>
      <c r="D39" s="1"/>
      <c r="E39" s="6"/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V41"/>
  <sheetViews>
    <sheetView topLeftCell="A27" zoomScale="85" workbookViewId="0">
      <selection activeCell="D46" sqref="D46"/>
    </sheetView>
  </sheetViews>
  <sheetFormatPr defaultColWidth="9" defaultRowHeight="14.5" x14ac:dyDescent="0.35"/>
  <cols>
    <col min="1" max="1" width="2.54296875" style="1" customWidth="1"/>
    <col min="2" max="2" width="21.81640625" style="1" customWidth="1"/>
    <col min="3" max="3" width="4.453125" style="1" customWidth="1"/>
    <col min="4" max="4" width="20.7265625" style="1" customWidth="1"/>
    <col min="5" max="5" width="7.36328125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1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5" si="0">O4-Q4</f>
        <v>10304</v>
      </c>
      <c r="O4" s="1">
        <v>10304</v>
      </c>
    </row>
    <row r="5" spans="2:15" customForma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4" t="str">
        <f>meter!B41</f>
        <v>ZAKARIA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22" t="s">
        <v>151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19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19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meter!E41</f>
        <v>48</v>
      </c>
      <c r="C16" s="7"/>
      <c r="D16" s="7">
        <f>meter!F41</f>
        <v>49</v>
      </c>
      <c r="E16" s="7" t="s">
        <v>18</v>
      </c>
      <c r="F16" s="8">
        <f>D16-B16</f>
        <v>1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1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1" t="s">
        <v>31</v>
      </c>
      <c r="E18" s="1" t="s">
        <v>22</v>
      </c>
      <c r="F18" s="1">
        <f>meter!O41</f>
        <v>1032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1" t="s">
        <v>9</v>
      </c>
      <c r="E20" s="1" t="s">
        <v>17</v>
      </c>
      <c r="F20" s="1">
        <f>meter!I41</f>
        <v>150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x14ac:dyDescent="0.35">
      <c r="B22" s="1"/>
      <c r="C22" s="1"/>
      <c r="D22" s="1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1" t="s">
        <v>25</v>
      </c>
      <c r="E24" s="1" t="s">
        <v>17</v>
      </c>
      <c r="F24" s="10">
        <f>meter!N41</f>
        <v>10000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1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1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11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1" t="s">
        <v>42</v>
      </c>
      <c r="E28" s="1" t="s">
        <v>17</v>
      </c>
      <c r="F28" s="10">
        <f>IF(F18*4%*1&lt;0,0,F18*4%*1)</f>
        <v>41.28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1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1" t="s">
        <v>11</v>
      </c>
      <c r="E30" s="1" t="s">
        <v>22</v>
      </c>
      <c r="F30" s="10">
        <f>SUM(F17:F29)</f>
        <v>11223.28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1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1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1" t="s">
        <v>87</v>
      </c>
      <c r="F34" s="12">
        <f>F30-F32</f>
        <v>11223.28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ht="15.5" x14ac:dyDescent="0.35">
      <c r="C35" s="9"/>
      <c r="D35" s="6"/>
      <c r="N35" s="1">
        <f t="shared" si="0"/>
        <v>10270</v>
      </c>
      <c r="O35" s="1">
        <v>10270</v>
      </c>
    </row>
    <row r="37" spans="1:256" x14ac:dyDescent="0.35">
      <c r="A37" s="21" t="s">
        <v>52</v>
      </c>
      <c r="C37" s="6"/>
    </row>
    <row r="38" spans="1:256" x14ac:dyDescent="0.35">
      <c r="A38" s="13" t="s">
        <v>106</v>
      </c>
      <c r="C38" s="6"/>
    </row>
    <row r="39" spans="1:256" x14ac:dyDescent="0.35">
      <c r="A39" s="13"/>
      <c r="C39" s="6"/>
    </row>
    <row r="40" spans="1:256" ht="21" x14ac:dyDescent="0.5">
      <c r="A40" s="142" t="s">
        <v>252</v>
      </c>
      <c r="C40" s="6"/>
      <c r="K40" s="30"/>
    </row>
    <row r="41" spans="1:256" x14ac:dyDescent="0.35">
      <c r="B41" s="21" t="s">
        <v>173</v>
      </c>
      <c r="D41" s="6"/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V55"/>
  <sheetViews>
    <sheetView topLeftCell="A25" zoomScale="85" workbookViewId="0">
      <selection activeCell="D44" sqref="D43:D44"/>
    </sheetView>
  </sheetViews>
  <sheetFormatPr defaultColWidth="9" defaultRowHeight="14.5" x14ac:dyDescent="0.35"/>
  <cols>
    <col min="1" max="1" width="0.26953125" style="1" customWidth="1"/>
    <col min="2" max="2" width="20.81640625" style="1" customWidth="1"/>
    <col min="3" max="3" width="9.1796875" style="1" customWidth="1"/>
    <col min="4" max="4" width="21.7265625" style="6" customWidth="1"/>
    <col min="5" max="5" width="13.1796875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6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6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6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8" si="0">O4-Q4</f>
        <v>10304</v>
      </c>
      <c r="O4" s="1">
        <v>10304</v>
      </c>
    </row>
    <row r="5" spans="2:15" customFormat="1" x14ac:dyDescent="0.35">
      <c r="B5" s="1"/>
      <c r="C5" s="1"/>
      <c r="D5" s="6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34">
        <f>meter!B42</f>
        <v>0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6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35" t="s">
        <v>152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6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36">
        <v>45473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6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52">
        <v>45478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6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6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meter!E42</f>
        <v>40</v>
      </c>
      <c r="C16" s="7"/>
      <c r="D16" s="5">
        <f>meter!F42</f>
        <v>40</v>
      </c>
      <c r="E16" s="7" t="s">
        <v>18</v>
      </c>
      <c r="F16" s="8">
        <f>D16-B16</f>
        <v>0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6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6" t="s">
        <v>31</v>
      </c>
      <c r="E18" s="1" t="s">
        <v>22</v>
      </c>
      <c r="F18" s="1">
        <f>meter!O42</f>
        <v>0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6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6" t="s">
        <v>9</v>
      </c>
      <c r="E20" s="1" t="s">
        <v>17</v>
      </c>
      <c r="F20" s="1">
        <f>meter!I42</f>
        <v>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6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x14ac:dyDescent="0.35">
      <c r="B22" s="1"/>
      <c r="C22" s="1"/>
      <c r="D22" s="6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6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6" t="s">
        <v>25</v>
      </c>
      <c r="E24" s="1" t="s">
        <v>17</v>
      </c>
      <c r="F24" s="10">
        <f>meter!N42</f>
        <v>8000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6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6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37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6" t="s">
        <v>42</v>
      </c>
      <c r="E28" s="1" t="s">
        <v>17</v>
      </c>
      <c r="F28" s="10">
        <f>IF(F18*4%*1&lt;0,0,F18*4%*1)</f>
        <v>0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6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6" t="s">
        <v>11</v>
      </c>
      <c r="E30" s="1" t="s">
        <v>22</v>
      </c>
      <c r="F30" s="10">
        <f>SUM(F17:F29)</f>
        <v>8000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6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6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6" t="s">
        <v>87</v>
      </c>
      <c r="F34" s="12">
        <f>F30-F32</f>
        <v>8000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ht="15.5" x14ac:dyDescent="0.35">
      <c r="C35" s="9" t="s">
        <v>12</v>
      </c>
      <c r="N35" s="1">
        <f t="shared" si="0"/>
        <v>10270</v>
      </c>
      <c r="O35" s="1">
        <v>10270</v>
      </c>
    </row>
    <row r="36" spans="1:256" x14ac:dyDescent="0.35">
      <c r="A36" s="22" t="s">
        <v>65</v>
      </c>
      <c r="B36" s="13" t="s">
        <v>52</v>
      </c>
      <c r="L36" s="30"/>
      <c r="N36" s="1">
        <f t="shared" si="0"/>
        <v>10598</v>
      </c>
      <c r="O36" s="1">
        <v>10598</v>
      </c>
    </row>
    <row r="37" spans="1:256" x14ac:dyDescent="0.35">
      <c r="A37" s="1" t="s">
        <v>66</v>
      </c>
      <c r="B37" s="13" t="s">
        <v>106</v>
      </c>
      <c r="N37" s="1">
        <f t="shared" si="0"/>
        <v>8770</v>
      </c>
      <c r="O37" s="1">
        <v>8770</v>
      </c>
    </row>
    <row r="38" spans="1:256" ht="21" x14ac:dyDescent="0.5">
      <c r="B38" s="137" t="s">
        <v>253</v>
      </c>
      <c r="K38" s="30"/>
      <c r="N38" s="1">
        <f t="shared" si="0"/>
        <v>8770</v>
      </c>
      <c r="O38" s="1">
        <v>8770</v>
      </c>
    </row>
    <row r="39" spans="1:256" x14ac:dyDescent="0.35">
      <c r="D39" s="1"/>
      <c r="IM39"/>
      <c r="IN39"/>
      <c r="IO39"/>
      <c r="IP39"/>
      <c r="IQ39"/>
      <c r="IR39"/>
      <c r="IS39"/>
      <c r="IT39"/>
      <c r="IU39"/>
      <c r="IV39"/>
    </row>
    <row r="40" spans="1:256" hidden="1" x14ac:dyDescent="0.35">
      <c r="D40" s="1"/>
      <c r="IM40"/>
      <c r="IN40"/>
      <c r="IO40"/>
      <c r="IP40"/>
      <c r="IQ40"/>
      <c r="IR40"/>
      <c r="IS40"/>
      <c r="IT40"/>
      <c r="IU40"/>
      <c r="IV40"/>
    </row>
    <row r="41" spans="1:256" x14ac:dyDescent="0.35">
      <c r="D41" s="1"/>
      <c r="IM41"/>
      <c r="IN41"/>
      <c r="IO41"/>
      <c r="IP41"/>
      <c r="IQ41"/>
      <c r="IR41"/>
      <c r="IS41"/>
      <c r="IT41"/>
      <c r="IU41"/>
      <c r="IV41"/>
    </row>
    <row r="42" spans="1:256" x14ac:dyDescent="0.35">
      <c r="D42" s="1"/>
      <c r="IM42"/>
      <c r="IN42"/>
      <c r="IO42"/>
      <c r="IP42"/>
      <c r="IQ42"/>
      <c r="IR42"/>
      <c r="IS42"/>
      <c r="IT42"/>
      <c r="IU42"/>
      <c r="IV42"/>
    </row>
    <row r="43" spans="1:256" x14ac:dyDescent="0.35">
      <c r="D43" s="1"/>
      <c r="IM43"/>
      <c r="IN43"/>
      <c r="IO43"/>
      <c r="IP43"/>
      <c r="IQ43"/>
      <c r="IR43"/>
      <c r="IS43"/>
      <c r="IT43"/>
      <c r="IU43"/>
      <c r="IV43"/>
    </row>
    <row r="44" spans="1:256" x14ac:dyDescent="0.35">
      <c r="D44" s="1"/>
      <c r="IM44"/>
      <c r="IN44"/>
      <c r="IO44"/>
      <c r="IP44"/>
      <c r="IQ44"/>
      <c r="IR44"/>
      <c r="IS44"/>
      <c r="IT44"/>
      <c r="IU44"/>
      <c r="IV44"/>
    </row>
    <row r="45" spans="1:256" x14ac:dyDescent="0.35">
      <c r="D45" s="1"/>
      <c r="IM45"/>
      <c r="IN45"/>
      <c r="IO45"/>
      <c r="IP45"/>
      <c r="IQ45"/>
      <c r="IR45"/>
      <c r="IS45"/>
      <c r="IT45"/>
      <c r="IU45"/>
      <c r="IV45"/>
    </row>
    <row r="46" spans="1:256" x14ac:dyDescent="0.35">
      <c r="D46" s="1"/>
      <c r="IM46"/>
      <c r="IN46"/>
      <c r="IO46"/>
      <c r="IP46"/>
      <c r="IQ46"/>
      <c r="IR46"/>
      <c r="IS46"/>
      <c r="IT46"/>
      <c r="IU46"/>
      <c r="IV46"/>
    </row>
    <row r="47" spans="1:256" x14ac:dyDescent="0.35">
      <c r="D47" s="1"/>
      <c r="IM47"/>
      <c r="IN47"/>
      <c r="IO47"/>
      <c r="IP47"/>
      <c r="IQ47"/>
      <c r="IR47"/>
      <c r="IS47"/>
      <c r="IT47"/>
      <c r="IU47"/>
      <c r="IV47"/>
    </row>
    <row r="48" spans="1:256" x14ac:dyDescent="0.35">
      <c r="D48" s="1"/>
      <c r="IM48"/>
      <c r="IN48"/>
      <c r="IO48"/>
      <c r="IP48"/>
      <c r="IQ48"/>
      <c r="IR48"/>
      <c r="IS48"/>
      <c r="IT48"/>
      <c r="IU48"/>
      <c r="IV48"/>
    </row>
    <row r="49" spans="4:256" x14ac:dyDescent="0.35">
      <c r="D49" s="1"/>
      <c r="IM49"/>
      <c r="IN49"/>
      <c r="IO49"/>
      <c r="IP49"/>
      <c r="IQ49"/>
      <c r="IR49"/>
      <c r="IS49"/>
      <c r="IT49"/>
      <c r="IU49"/>
      <c r="IV49"/>
    </row>
    <row r="50" spans="4:256" x14ac:dyDescent="0.35">
      <c r="D50" s="1"/>
      <c r="IM50"/>
      <c r="IN50"/>
      <c r="IO50"/>
      <c r="IP50"/>
      <c r="IQ50"/>
      <c r="IR50"/>
      <c r="IS50"/>
      <c r="IT50"/>
      <c r="IU50"/>
      <c r="IV50"/>
    </row>
    <row r="51" spans="4:256" x14ac:dyDescent="0.35">
      <c r="D51" s="1"/>
      <c r="IM51"/>
      <c r="IN51"/>
      <c r="IO51"/>
      <c r="IP51"/>
      <c r="IQ51"/>
      <c r="IR51"/>
      <c r="IS51"/>
      <c r="IT51"/>
      <c r="IU51"/>
      <c r="IV51"/>
    </row>
    <row r="52" spans="4:256" x14ac:dyDescent="0.35">
      <c r="D52" s="1"/>
      <c r="IM52"/>
      <c r="IN52"/>
      <c r="IO52"/>
      <c r="IP52"/>
      <c r="IQ52"/>
      <c r="IR52"/>
      <c r="IS52"/>
      <c r="IT52"/>
      <c r="IU52"/>
      <c r="IV52"/>
    </row>
    <row r="53" spans="4:256" x14ac:dyDescent="0.35">
      <c r="D53" s="1"/>
      <c r="IM53"/>
      <c r="IN53"/>
      <c r="IO53"/>
      <c r="IP53"/>
      <c r="IQ53"/>
      <c r="IR53"/>
      <c r="IS53"/>
      <c r="IT53"/>
      <c r="IU53"/>
      <c r="IV53"/>
    </row>
    <row r="54" spans="4:256" x14ac:dyDescent="0.35">
      <c r="D54" s="1"/>
      <c r="IM54"/>
      <c r="IN54"/>
      <c r="IO54"/>
      <c r="IP54"/>
      <c r="IQ54"/>
      <c r="IR54"/>
      <c r="IS54"/>
      <c r="IT54"/>
      <c r="IU54"/>
      <c r="IV54"/>
    </row>
    <row r="55" spans="4:256" x14ac:dyDescent="0.35">
      <c r="D55" s="1"/>
      <c r="IM55"/>
      <c r="IN55"/>
      <c r="IO55"/>
      <c r="IP55"/>
      <c r="IQ55"/>
      <c r="IR55"/>
      <c r="IS55"/>
      <c r="IT55"/>
      <c r="IU55"/>
      <c r="IV55"/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V53"/>
  <sheetViews>
    <sheetView topLeftCell="A32" workbookViewId="0">
      <selection activeCell="D43" sqref="D43"/>
    </sheetView>
  </sheetViews>
  <sheetFormatPr defaultColWidth="9" defaultRowHeight="14.5" x14ac:dyDescent="0.35"/>
  <cols>
    <col min="1" max="1" width="1.1796875" style="1" customWidth="1"/>
    <col min="2" max="2" width="17.54296875" style="1" customWidth="1"/>
    <col min="3" max="3" width="4.54296875" style="1" customWidth="1"/>
    <col min="4" max="4" width="20.54296875" style="6" customWidth="1"/>
    <col min="5" max="5" width="13.1796875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6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6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6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8" si="0">O4-Q4</f>
        <v>10304</v>
      </c>
      <c r="O4" s="1">
        <v>10304</v>
      </c>
    </row>
    <row r="5" spans="2:15" customFormat="1" x14ac:dyDescent="0.35">
      <c r="B5" s="1"/>
      <c r="C5" s="1"/>
      <c r="D5" s="6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34" t="str">
        <f>meter!B43</f>
        <v>ISMAHAN    MAIMUNA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6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35" t="s">
        <v>153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6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36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6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36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6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6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meter!E37</f>
        <v>28</v>
      </c>
      <c r="C16" s="7"/>
      <c r="D16" s="5">
        <f>meter!F37</f>
        <v>29</v>
      </c>
      <c r="E16" s="7" t="s">
        <v>18</v>
      </c>
      <c r="F16" s="8">
        <f>D16-B16</f>
        <v>1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6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6" t="s">
        <v>31</v>
      </c>
      <c r="E18" s="1" t="s">
        <v>22</v>
      </c>
      <c r="F18" s="1">
        <f>meter!O43</f>
        <v>774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6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6" t="s">
        <v>9</v>
      </c>
      <c r="E20" s="1" t="s">
        <v>17</v>
      </c>
      <c r="F20" s="1">
        <f>meter!I43</f>
        <v>150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6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ht="29" x14ac:dyDescent="0.35">
      <c r="B22" s="1"/>
      <c r="C22" s="1"/>
      <c r="D22" s="6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6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6" t="s">
        <v>25</v>
      </c>
      <c r="E24" s="1" t="s">
        <v>17</v>
      </c>
      <c r="F24" s="10">
        <f>meter!N43</f>
        <v>8000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6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6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37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6" t="s">
        <v>42</v>
      </c>
      <c r="E28" s="1" t="s">
        <v>17</v>
      </c>
      <c r="F28" s="10">
        <f>IF(F18*4%*1&lt;0,0,F18*4%*1)</f>
        <v>30.96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6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6" t="s">
        <v>11</v>
      </c>
      <c r="E30" s="1" t="s">
        <v>22</v>
      </c>
      <c r="F30" s="10">
        <f>SUM(F17:F29)</f>
        <v>8954.9599999999991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6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6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6" t="s">
        <v>87</v>
      </c>
      <c r="F34" s="12">
        <f>F30-F32</f>
        <v>8954.9599999999991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x14ac:dyDescent="0.35">
      <c r="B35" s="21" t="s">
        <v>52</v>
      </c>
      <c r="G35" s="21" t="s">
        <v>52</v>
      </c>
      <c r="I35" s="6"/>
      <c r="N35" s="1">
        <f t="shared" si="0"/>
        <v>10270</v>
      </c>
      <c r="O35" s="1">
        <v>10270</v>
      </c>
    </row>
    <row r="36" spans="1:256" x14ac:dyDescent="0.35">
      <c r="B36" s="13" t="s">
        <v>106</v>
      </c>
      <c r="G36" s="13" t="s">
        <v>106</v>
      </c>
      <c r="I36" s="6"/>
      <c r="L36" s="30"/>
      <c r="N36" s="1">
        <f t="shared" si="0"/>
        <v>10598</v>
      </c>
      <c r="O36" s="1">
        <v>10598</v>
      </c>
    </row>
    <row r="37" spans="1:256" x14ac:dyDescent="0.35">
      <c r="B37" s="13"/>
      <c r="G37" s="13"/>
      <c r="I37" s="6"/>
      <c r="N37" s="1">
        <f t="shared" si="0"/>
        <v>8770</v>
      </c>
      <c r="O37" s="1">
        <v>8770</v>
      </c>
    </row>
    <row r="38" spans="1:256" ht="18.5" x14ac:dyDescent="0.45">
      <c r="B38" s="143" t="s">
        <v>254</v>
      </c>
      <c r="G38" s="13"/>
      <c r="I38" s="6"/>
      <c r="N38" s="1">
        <f t="shared" si="0"/>
        <v>8770</v>
      </c>
      <c r="O38" s="1">
        <v>8770</v>
      </c>
    </row>
    <row r="39" spans="1:256" x14ac:dyDescent="0.35">
      <c r="C39" s="21" t="s">
        <v>173</v>
      </c>
      <c r="D39" s="1"/>
      <c r="E39" s="6"/>
      <c r="H39" s="21" t="s">
        <v>173</v>
      </c>
      <c r="J39" s="6"/>
      <c r="O39" s="1">
        <f>SUM(O3:O38)</f>
        <v>391268</v>
      </c>
      <c r="Q39" s="1">
        <f>SUM(Q3:Q38)</f>
        <v>0</v>
      </c>
    </row>
    <row r="40" spans="1:256" hidden="1" x14ac:dyDescent="0.35">
      <c r="B40" s="13"/>
    </row>
    <row r="41" spans="1:256" x14ac:dyDescent="0.35">
      <c r="B41" s="13"/>
    </row>
    <row r="42" spans="1:256" x14ac:dyDescent="0.35">
      <c r="B42" s="13"/>
    </row>
    <row r="43" spans="1:256" x14ac:dyDescent="0.35">
      <c r="B43" s="4"/>
    </row>
    <row r="44" spans="1:256" x14ac:dyDescent="0.35">
      <c r="B44" s="14"/>
      <c r="D44" s="1"/>
    </row>
    <row r="45" spans="1:256" x14ac:dyDescent="0.35">
      <c r="B45" s="14"/>
      <c r="D45" s="1"/>
      <c r="G45" s="15"/>
      <c r="H45" s="15"/>
      <c r="I45" s="15"/>
    </row>
    <row r="46" spans="1:256" x14ac:dyDescent="0.35">
      <c r="A46" s="15"/>
      <c r="B46" s="14"/>
      <c r="D46" s="1"/>
    </row>
    <row r="47" spans="1:256" x14ac:dyDescent="0.35">
      <c r="B47" s="14" t="s">
        <v>171</v>
      </c>
      <c r="D47" s="1"/>
    </row>
    <row r="48" spans="1:256" x14ac:dyDescent="0.35">
      <c r="B48" s="15"/>
      <c r="C48" s="15"/>
      <c r="D48" s="15"/>
      <c r="E48" s="15"/>
      <c r="F48" s="15"/>
    </row>
    <row r="49" spans="1:9" x14ac:dyDescent="0.35">
      <c r="B49" s="15"/>
      <c r="D49" s="1"/>
    </row>
    <row r="50" spans="1:9" x14ac:dyDescent="0.35">
      <c r="A50" s="13"/>
      <c r="B50" s="14"/>
      <c r="D50" s="1"/>
      <c r="G50" s="13"/>
      <c r="H50" s="13"/>
      <c r="I50" s="13"/>
    </row>
    <row r="51" spans="1:9" x14ac:dyDescent="0.35">
      <c r="A51" s="13"/>
      <c r="B51" s="4"/>
      <c r="D51" s="1"/>
    </row>
    <row r="52" spans="1:9" x14ac:dyDescent="0.35">
      <c r="A52" s="13"/>
      <c r="B52" s="13"/>
      <c r="D52" s="1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V41"/>
  <sheetViews>
    <sheetView topLeftCell="B26" workbookViewId="0">
      <selection activeCell="G47" sqref="G46:G47"/>
    </sheetView>
  </sheetViews>
  <sheetFormatPr defaultColWidth="9" defaultRowHeight="14.5" x14ac:dyDescent="0.35"/>
  <cols>
    <col min="1" max="1" width="9.1796875" style="1" hidden="1" customWidth="1"/>
    <col min="2" max="2" width="17.90625" style="1" customWidth="1"/>
    <col min="3" max="3" width="8.984375E-2" style="1" customWidth="1"/>
    <col min="4" max="4" width="18.453125" style="1" customWidth="1"/>
    <col min="5" max="5" width="10.453125" style="1" customWidth="1"/>
    <col min="6" max="6" width="15.179687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25" customHeight="1" x14ac:dyDescent="0.55000000000000004">
      <c r="B1" s="53" t="s">
        <v>164</v>
      </c>
      <c r="C1" s="7"/>
      <c r="D1" s="7"/>
      <c r="E1" s="7"/>
      <c r="F1" s="7"/>
      <c r="G1" s="7"/>
      <c r="H1" s="1"/>
      <c r="I1" s="1"/>
      <c r="J1" s="1"/>
      <c r="K1" s="1"/>
      <c r="L1" s="1"/>
      <c r="M1" s="1"/>
      <c r="N1" s="1"/>
      <c r="O1" s="1"/>
    </row>
    <row r="2" spans="2:15" customFormat="1" ht="15" customHeight="1" x14ac:dyDescent="0.35">
      <c r="B2" s="7" t="str">
        <f>'1A'!B2</f>
        <v>P.O BOX 9473-00200 NAIROBI</v>
      </c>
      <c r="C2" s="7"/>
      <c r="D2" s="7"/>
      <c r="E2" s="7"/>
      <c r="F2" s="7"/>
      <c r="G2" s="7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75" customHeight="1" x14ac:dyDescent="0.45">
      <c r="B3" s="54" t="s">
        <v>0</v>
      </c>
      <c r="C3" s="7"/>
      <c r="D3" s="7"/>
      <c r="E3" s="7"/>
      <c r="F3" s="7"/>
      <c r="G3" s="7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1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4" si="0">O4-Q4</f>
        <v>10304</v>
      </c>
      <c r="O4" s="1">
        <v>10304</v>
      </c>
    </row>
    <row r="5" spans="2:15" customForma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4" t="str">
        <f>meter!B44</f>
        <v>AMER ALAMRY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22" t="s">
        <v>154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19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19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55">
        <f>meter!E44</f>
        <v>65</v>
      </c>
      <c r="C16" s="7"/>
      <c r="D16" s="55">
        <f>meter!F44</f>
        <v>66</v>
      </c>
      <c r="E16" s="7" t="s">
        <v>18</v>
      </c>
      <c r="F16" s="8">
        <f>D16-B16</f>
        <v>1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1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1" t="s">
        <v>31</v>
      </c>
      <c r="E18" s="1" t="s">
        <v>22</v>
      </c>
      <c r="F18" s="1">
        <f>meter!O44</f>
        <v>645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1" t="s">
        <v>9</v>
      </c>
      <c r="E20" s="1" t="s">
        <v>17</v>
      </c>
      <c r="F20" s="1">
        <f>meter!I44</f>
        <v>150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x14ac:dyDescent="0.35">
      <c r="B22" s="1"/>
      <c r="C22" s="1"/>
      <c r="D22" s="1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1" t="s">
        <v>25</v>
      </c>
      <c r="E24" s="1" t="s">
        <v>17</v>
      </c>
      <c r="F24" s="10">
        <f>meter!N44</f>
        <v>10000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1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1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11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1" t="s">
        <v>42</v>
      </c>
      <c r="E28" s="1" t="s">
        <v>17</v>
      </c>
      <c r="F28" s="10">
        <f>IF(F18*4%*1&lt;0,0,F18*4%*1)</f>
        <v>25.8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1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1" t="s">
        <v>11</v>
      </c>
      <c r="E30" s="1" t="s">
        <v>22</v>
      </c>
      <c r="F30" s="10">
        <f>SUM(F18:F29)</f>
        <v>10820.8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1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1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2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2:256" x14ac:dyDescent="0.35">
      <c r="D34" s="1" t="s">
        <v>87</v>
      </c>
      <c r="F34" s="12">
        <f>F30-F32</f>
        <v>10820.8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6" spans="2:256" x14ac:dyDescent="0.35">
      <c r="B36" s="21" t="s">
        <v>52</v>
      </c>
      <c r="D36" s="6"/>
      <c r="G36" s="56"/>
      <c r="H36" s="56"/>
      <c r="I36" s="56"/>
      <c r="J36" s="56"/>
      <c r="K36" s="56"/>
    </row>
    <row r="37" spans="2:256" x14ac:dyDescent="0.35">
      <c r="B37" s="13" t="s">
        <v>106</v>
      </c>
      <c r="D37" s="6"/>
      <c r="G37" s="56"/>
      <c r="H37" s="56"/>
      <c r="I37" s="56"/>
      <c r="J37" s="56"/>
      <c r="K37" s="56"/>
    </row>
    <row r="38" spans="2:256" x14ac:dyDescent="0.35">
      <c r="B38" s="13"/>
      <c r="D38" s="6"/>
      <c r="G38" s="56"/>
      <c r="H38" s="56"/>
      <c r="I38" s="56"/>
      <c r="J38" s="56"/>
      <c r="K38" s="56"/>
    </row>
    <row r="39" spans="2:256" ht="18.5" x14ac:dyDescent="0.45">
      <c r="B39" s="143" t="s">
        <v>255</v>
      </c>
      <c r="D39" s="6"/>
      <c r="G39" s="56"/>
      <c r="H39" s="56"/>
      <c r="I39" s="56"/>
      <c r="J39" s="56"/>
      <c r="K39" s="57"/>
    </row>
    <row r="40" spans="2:256" x14ac:dyDescent="0.35">
      <c r="C40" s="21" t="s">
        <v>173</v>
      </c>
      <c r="E40" s="6"/>
      <c r="G40" s="56"/>
      <c r="H40" s="56"/>
      <c r="I40" s="56"/>
      <c r="J40" s="56"/>
      <c r="K40" s="56"/>
    </row>
    <row r="41" spans="2:256" x14ac:dyDescent="0.35">
      <c r="B41" s="56"/>
      <c r="C41" s="56"/>
      <c r="D41" s="56"/>
      <c r="E41" s="56"/>
      <c r="F41" s="56"/>
      <c r="G41" s="56"/>
      <c r="H41" s="56"/>
      <c r="I41" s="56"/>
      <c r="J41" s="56"/>
      <c r="K41" s="56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V41"/>
  <sheetViews>
    <sheetView topLeftCell="A33" workbookViewId="0">
      <selection activeCell="D47" sqref="D47"/>
    </sheetView>
  </sheetViews>
  <sheetFormatPr defaultColWidth="9" defaultRowHeight="14.5" x14ac:dyDescent="0.35"/>
  <cols>
    <col min="1" max="1" width="0.81640625" style="1" customWidth="1"/>
    <col min="2" max="2" width="17" style="1" customWidth="1"/>
    <col min="3" max="3" width="3.1796875" style="1" customWidth="1"/>
    <col min="4" max="4" width="18.6328125" style="6" customWidth="1"/>
    <col min="5" max="5" width="6.1796875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6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6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6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4" si="0">O4-Q4</f>
        <v>10304</v>
      </c>
      <c r="O4" s="1">
        <v>10304</v>
      </c>
    </row>
    <row r="5" spans="2:15" customFormat="1" x14ac:dyDescent="0.35">
      <c r="B5" s="1"/>
      <c r="C5" s="1"/>
      <c r="D5" s="6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ht="29" x14ac:dyDescent="0.35">
      <c r="B6" s="1" t="s">
        <v>7</v>
      </c>
      <c r="C6" s="1"/>
      <c r="D6" s="34" t="str">
        <f>meter!B45</f>
        <v>SABRIA MOHAMMED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6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35" t="s">
        <v>155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6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36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6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36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6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6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ht="29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meter!E45</f>
        <v>43</v>
      </c>
      <c r="C16" s="7"/>
      <c r="D16" s="5">
        <f>meter!F45</f>
        <v>43</v>
      </c>
      <c r="E16" s="7" t="s">
        <v>18</v>
      </c>
      <c r="F16" s="8">
        <f>D16-B16</f>
        <v>0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6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6" t="s">
        <v>31</v>
      </c>
      <c r="E18" s="1" t="s">
        <v>22</v>
      </c>
      <c r="F18" s="1">
        <f>meter!O45</f>
        <v>516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6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6" t="s">
        <v>9</v>
      </c>
      <c r="E20" s="1" t="s">
        <v>17</v>
      </c>
      <c r="F20" s="1">
        <f>meter!I45</f>
        <v>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6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ht="29" x14ac:dyDescent="0.35">
      <c r="B22" s="1"/>
      <c r="C22" s="1"/>
      <c r="D22" s="6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6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ht="29" x14ac:dyDescent="0.35">
      <c r="B24" s="1"/>
      <c r="C24" s="1"/>
      <c r="D24" s="6" t="s">
        <v>25</v>
      </c>
      <c r="E24" s="1" t="s">
        <v>17</v>
      </c>
      <c r="F24" s="10">
        <f>meter!N45</f>
        <v>8000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6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6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37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ht="29" x14ac:dyDescent="0.35">
      <c r="B28" s="1"/>
      <c r="C28" s="1"/>
      <c r="D28" s="6" t="s">
        <v>42</v>
      </c>
      <c r="E28" s="1" t="s">
        <v>17</v>
      </c>
      <c r="F28" s="10">
        <f>IF(F18*4%*1&lt;0,0,F18*4%*1)</f>
        <v>20.64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6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6" t="s">
        <v>11</v>
      </c>
      <c r="E30" s="1" t="s">
        <v>22</v>
      </c>
      <c r="F30" s="10">
        <v>0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6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6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2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2:256" x14ac:dyDescent="0.35">
      <c r="D34" s="6" t="s">
        <v>87</v>
      </c>
      <c r="F34" s="12">
        <f>SUM(F18:F33)</f>
        <v>8536.64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7" spans="2:256" x14ac:dyDescent="0.35">
      <c r="B37" s="21" t="s">
        <v>52</v>
      </c>
      <c r="G37" s="21" t="s">
        <v>52</v>
      </c>
      <c r="I37" s="6"/>
    </row>
    <row r="38" spans="2:256" x14ac:dyDescent="0.35">
      <c r="B38" s="13" t="s">
        <v>106</v>
      </c>
      <c r="G38" s="13" t="s">
        <v>106</v>
      </c>
      <c r="I38" s="6"/>
    </row>
    <row r="39" spans="2:256" x14ac:dyDescent="0.35">
      <c r="B39" s="13"/>
      <c r="G39" s="13"/>
      <c r="I39" s="6"/>
    </row>
    <row r="40" spans="2:256" ht="15.5" x14ac:dyDescent="0.35">
      <c r="B40" s="132" t="s">
        <v>256</v>
      </c>
      <c r="G40" s="13"/>
      <c r="I40" s="6"/>
    </row>
    <row r="41" spans="2:256" x14ac:dyDescent="0.35">
      <c r="C41" s="21" t="s">
        <v>173</v>
      </c>
      <c r="D41" s="1"/>
      <c r="E41" s="6"/>
      <c r="H41" s="21" t="s">
        <v>173</v>
      </c>
      <c r="J41" s="6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V53"/>
  <sheetViews>
    <sheetView topLeftCell="A27" workbookViewId="0">
      <selection activeCell="E47" sqref="E47"/>
    </sheetView>
  </sheetViews>
  <sheetFormatPr defaultColWidth="9" defaultRowHeight="14.5" x14ac:dyDescent="0.35"/>
  <cols>
    <col min="1" max="1" width="0.6328125" style="1" customWidth="1"/>
    <col min="2" max="2" width="17.08984375" style="1" customWidth="1"/>
    <col min="3" max="3" width="3.26953125" style="1" customWidth="1"/>
    <col min="4" max="4" width="18" style="1" customWidth="1"/>
    <col min="5" max="5" width="9.08984375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1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8" si="0">O4-Q4</f>
        <v>10304</v>
      </c>
      <c r="O4" s="1">
        <v>10304</v>
      </c>
    </row>
    <row r="5" spans="2:15" customForma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4" t="str">
        <f>meter!B46</f>
        <v>ADEN SAID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22" t="s">
        <v>156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19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19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ht="29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meter!E46</f>
        <v>47</v>
      </c>
      <c r="C16" s="7"/>
      <c r="D16" s="7">
        <f>meter!F46</f>
        <v>47</v>
      </c>
      <c r="E16" s="7" t="s">
        <v>18</v>
      </c>
      <c r="F16" s="8">
        <f>D16-B16</f>
        <v>0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1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1" t="s">
        <v>31</v>
      </c>
      <c r="E18" s="1" t="s">
        <v>22</v>
      </c>
      <c r="F18" s="1">
        <f>meter!O46</f>
        <v>0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1" t="s">
        <v>9</v>
      </c>
      <c r="E20" s="1" t="s">
        <v>17</v>
      </c>
      <c r="F20" s="1">
        <f>meter!I46</f>
        <v>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x14ac:dyDescent="0.35">
      <c r="B22" s="1"/>
      <c r="C22" s="1"/>
      <c r="D22" s="1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1" t="s">
        <v>25</v>
      </c>
      <c r="E24" s="1" t="s">
        <v>17</v>
      </c>
      <c r="F24" s="10">
        <f>meter!N46</f>
        <v>8000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1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1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11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1" t="s">
        <v>42</v>
      </c>
      <c r="E28" s="1" t="s">
        <v>17</v>
      </c>
      <c r="F28" s="10">
        <f>IF(F18*4%*1&lt;0,0,F18*4%*1)</f>
        <v>0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1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1" t="s">
        <v>11</v>
      </c>
      <c r="E30" s="1" t="s">
        <v>22</v>
      </c>
      <c r="F30" s="10">
        <f>SUM(F18:F29)</f>
        <v>8000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1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1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1" t="s">
        <v>87</v>
      </c>
      <c r="F34" s="12">
        <f>F30-F32</f>
        <v>8000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ht="15.5" x14ac:dyDescent="0.35">
      <c r="C35" s="9" t="s">
        <v>12</v>
      </c>
      <c r="D35" s="6"/>
      <c r="N35" s="1">
        <f t="shared" si="0"/>
        <v>10270</v>
      </c>
      <c r="O35" s="1">
        <v>10270</v>
      </c>
    </row>
    <row r="36" spans="1:256" x14ac:dyDescent="0.35">
      <c r="A36" s="21" t="s">
        <v>52</v>
      </c>
      <c r="C36" s="6"/>
      <c r="F36" s="21" t="s">
        <v>52</v>
      </c>
      <c r="H36" s="6"/>
      <c r="L36" s="30"/>
      <c r="N36" s="1">
        <f t="shared" si="0"/>
        <v>10598</v>
      </c>
      <c r="O36" s="1">
        <v>10598</v>
      </c>
    </row>
    <row r="37" spans="1:256" x14ac:dyDescent="0.35">
      <c r="A37" s="13" t="s">
        <v>106</v>
      </c>
      <c r="C37" s="6"/>
      <c r="F37" s="13" t="s">
        <v>106</v>
      </c>
      <c r="H37" s="6"/>
      <c r="N37" s="1">
        <f t="shared" si="0"/>
        <v>8770</v>
      </c>
      <c r="O37" s="1">
        <v>8770</v>
      </c>
    </row>
    <row r="38" spans="1:256" x14ac:dyDescent="0.35">
      <c r="A38" s="13"/>
      <c r="C38" s="6"/>
      <c r="F38" s="13"/>
      <c r="H38" s="6"/>
      <c r="K38" s="30"/>
      <c r="N38" s="1">
        <f t="shared" si="0"/>
        <v>8770</v>
      </c>
      <c r="O38" s="1">
        <v>8770</v>
      </c>
    </row>
    <row r="39" spans="1:256" ht="18.5" x14ac:dyDescent="0.45">
      <c r="A39" s="13" t="s">
        <v>172</v>
      </c>
      <c r="B39" s="144" t="s">
        <v>257</v>
      </c>
      <c r="C39" s="6"/>
      <c r="F39" s="13"/>
      <c r="H39" s="6"/>
      <c r="O39" s="1">
        <f>SUM(O3:O38)</f>
        <v>391268</v>
      </c>
      <c r="Q39" s="1">
        <f>SUM(Q3:Q38)</f>
        <v>0</v>
      </c>
    </row>
    <row r="40" spans="1:256" hidden="1" x14ac:dyDescent="0.35">
      <c r="B40" s="21" t="s">
        <v>173</v>
      </c>
      <c r="D40" s="6"/>
      <c r="G40" s="21" t="s">
        <v>173</v>
      </c>
      <c r="I40" s="6"/>
    </row>
    <row r="41" spans="1:256" x14ac:dyDescent="0.35">
      <c r="B41" s="13"/>
      <c r="D41" s="6"/>
    </row>
    <row r="42" spans="1:256" x14ac:dyDescent="0.35">
      <c r="B42" s="13"/>
      <c r="D42" s="6"/>
    </row>
    <row r="43" spans="1:256" x14ac:dyDescent="0.35">
      <c r="B43" s="4"/>
      <c r="D43" s="6"/>
    </row>
    <row r="44" spans="1:256" x14ac:dyDescent="0.35">
      <c r="B44" s="14"/>
    </row>
    <row r="45" spans="1:256" x14ac:dyDescent="0.35">
      <c r="B45" s="14"/>
      <c r="G45" s="15"/>
      <c r="H45" s="15"/>
      <c r="I45" s="15"/>
    </row>
    <row r="46" spans="1:256" x14ac:dyDescent="0.35">
      <c r="A46" s="15"/>
      <c r="B46" s="14"/>
    </row>
    <row r="48" spans="1:256" x14ac:dyDescent="0.35">
      <c r="B48" s="15"/>
      <c r="C48" s="15"/>
      <c r="D48" s="15"/>
      <c r="E48" s="15"/>
      <c r="F48" s="15"/>
    </row>
    <row r="49" spans="1:9" x14ac:dyDescent="0.35">
      <c r="B49" s="15"/>
    </row>
    <row r="50" spans="1:9" x14ac:dyDescent="0.35">
      <c r="A50" s="13"/>
      <c r="B50" s="14"/>
      <c r="G50" s="13"/>
      <c r="H50" s="13"/>
      <c r="I50" s="13"/>
    </row>
    <row r="51" spans="1:9" x14ac:dyDescent="0.35">
      <c r="A51" s="13"/>
      <c r="B51" s="4"/>
    </row>
    <row r="52" spans="1:9" x14ac:dyDescent="0.35">
      <c r="A52" s="13"/>
      <c r="B52" s="13"/>
    </row>
    <row r="53" spans="1:9" x14ac:dyDescent="0.35">
      <c r="A53" s="13"/>
      <c r="B53" s="13"/>
      <c r="C53" s="13"/>
      <c r="D53" s="13"/>
      <c r="E53" s="13"/>
      <c r="F53" s="13"/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V40"/>
  <sheetViews>
    <sheetView topLeftCell="B27" workbookViewId="0">
      <selection activeCell="J44" sqref="J44"/>
    </sheetView>
  </sheetViews>
  <sheetFormatPr defaultColWidth="9" defaultRowHeight="14.5" x14ac:dyDescent="0.35"/>
  <cols>
    <col min="1" max="1" width="0.81640625" style="1" customWidth="1"/>
    <col min="2" max="2" width="21.81640625" style="1" customWidth="1"/>
    <col min="3" max="3" width="3.54296875" style="1" customWidth="1"/>
    <col min="4" max="4" width="17.26953125" style="1" customWidth="1"/>
    <col min="5" max="5" width="8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1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8" si="0">O4-Q4</f>
        <v>10304</v>
      </c>
      <c r="O4" s="1">
        <v>10304</v>
      </c>
    </row>
    <row r="5" spans="2:15" customForma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4" t="str">
        <f>meter!B47</f>
        <v>TALIB AHMED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22" t="s">
        <v>157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19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19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meter!E47</f>
        <v>6</v>
      </c>
      <c r="C16" s="7"/>
      <c r="D16" s="7">
        <f>meter!F47</f>
        <v>7</v>
      </c>
      <c r="E16" s="7" t="s">
        <v>18</v>
      </c>
      <c r="F16" s="8">
        <f>D16-B16</f>
        <v>1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1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1" t="s">
        <v>31</v>
      </c>
      <c r="E18" s="1" t="s">
        <v>22</v>
      </c>
      <c r="F18" s="1">
        <f>meter!O47</f>
        <v>968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1" t="s">
        <v>9</v>
      </c>
      <c r="E20" s="1" t="s">
        <v>17</v>
      </c>
      <c r="F20" s="1">
        <f>meter!I47</f>
        <v>150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x14ac:dyDescent="0.35">
      <c r="B22" s="1"/>
      <c r="C22" s="1"/>
      <c r="D22" s="1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1" t="s">
        <v>25</v>
      </c>
      <c r="E24" s="1" t="s">
        <v>17</v>
      </c>
      <c r="F24" s="10">
        <f>meter!N47</f>
        <v>10000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1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1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11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1" t="s">
        <v>42</v>
      </c>
      <c r="E28" s="1" t="s">
        <v>17</v>
      </c>
      <c r="F28" s="10">
        <f>IF(F18*4%*1&lt;0,0,F18*4%*1)</f>
        <v>38.72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1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1" t="s">
        <v>11</v>
      </c>
      <c r="E30" s="1" t="s">
        <v>22</v>
      </c>
      <c r="F30" s="10">
        <f>SUM(F18:F29)</f>
        <v>11156.72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1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1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1" t="s">
        <v>87</v>
      </c>
      <c r="F34" s="12">
        <f>F30-F32</f>
        <v>11156.72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x14ac:dyDescent="0.35">
      <c r="A35" s="21" t="s">
        <v>52</v>
      </c>
      <c r="C35" s="6"/>
      <c r="N35" s="1">
        <f t="shared" si="0"/>
        <v>10270</v>
      </c>
      <c r="O35" s="1">
        <v>10270</v>
      </c>
    </row>
    <row r="36" spans="1:256" x14ac:dyDescent="0.35">
      <c r="A36" s="13" t="s">
        <v>106</v>
      </c>
      <c r="C36" s="6"/>
      <c r="L36" s="30"/>
      <c r="N36" s="1">
        <f t="shared" si="0"/>
        <v>10598</v>
      </c>
      <c r="O36" s="1">
        <v>10598</v>
      </c>
    </row>
    <row r="37" spans="1:256" x14ac:dyDescent="0.35">
      <c r="A37" s="13"/>
      <c r="C37" s="6"/>
      <c r="N37" s="1">
        <f t="shared" si="0"/>
        <v>8770</v>
      </c>
      <c r="O37" s="1">
        <v>8770</v>
      </c>
    </row>
    <row r="38" spans="1:256" ht="18.5" x14ac:dyDescent="0.45">
      <c r="A38" s="13"/>
      <c r="B38" s="144" t="s">
        <v>258</v>
      </c>
      <c r="C38" s="6"/>
      <c r="J38" s="30"/>
      <c r="K38" s="30"/>
      <c r="N38" s="1">
        <f t="shared" si="0"/>
        <v>8770</v>
      </c>
      <c r="O38" s="1">
        <v>8770</v>
      </c>
    </row>
    <row r="39" spans="1:256" x14ac:dyDescent="0.35">
      <c r="B39" s="21" t="s">
        <v>173</v>
      </c>
      <c r="D39" s="6"/>
      <c r="O39" s="1">
        <f>SUM(O3:O38)</f>
        <v>391268</v>
      </c>
      <c r="Q39" s="1">
        <f>SUM(Q3:Q38)</f>
        <v>0</v>
      </c>
    </row>
    <row r="40" spans="1:256" hidden="1" x14ac:dyDescent="0.35">
      <c r="B40" s="13"/>
      <c r="D40" s="6"/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V42"/>
  <sheetViews>
    <sheetView topLeftCell="B26" workbookViewId="0">
      <selection activeCell="I42" sqref="I38:I42"/>
    </sheetView>
  </sheetViews>
  <sheetFormatPr defaultColWidth="9" defaultRowHeight="14.5" x14ac:dyDescent="0.35"/>
  <cols>
    <col min="1" max="1" width="9.1796875" style="1" hidden="1" customWidth="1"/>
    <col min="2" max="2" width="18.6328125" style="1" customWidth="1"/>
    <col min="3" max="3" width="2.7265625" style="1" customWidth="1"/>
    <col min="4" max="4" width="17.08984375" style="1" customWidth="1"/>
    <col min="5" max="5" width="10.6328125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1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4" si="0">O4-Q4</f>
        <v>10304</v>
      </c>
      <c r="O4" s="1">
        <v>10304</v>
      </c>
    </row>
    <row r="5" spans="2:15" customForma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4" t="str">
        <f>meter!B48</f>
        <v>FILSAN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135" t="s">
        <v>158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19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19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meter!E48</f>
        <v>21</v>
      </c>
      <c r="C16" s="7"/>
      <c r="D16" s="7">
        <f>meter!F48</f>
        <v>21</v>
      </c>
      <c r="E16" s="7" t="s">
        <v>18</v>
      </c>
      <c r="F16" s="8">
        <f>D16-B16</f>
        <v>0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1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1" t="s">
        <v>31</v>
      </c>
      <c r="E18" s="1" t="s">
        <v>22</v>
      </c>
      <c r="F18" s="1">
        <f>meter!O48</f>
        <v>774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1" t="s">
        <v>9</v>
      </c>
      <c r="E20" s="1" t="s">
        <v>17</v>
      </c>
      <c r="F20" s="1">
        <f>meter!I48</f>
        <v>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x14ac:dyDescent="0.35">
      <c r="B22" s="1"/>
      <c r="C22" s="1"/>
      <c r="D22" s="1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1" t="s">
        <v>25</v>
      </c>
      <c r="E24" s="1" t="s">
        <v>17</v>
      </c>
      <c r="F24" s="10">
        <f>meter!N48</f>
        <v>8000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1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1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11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1" t="s">
        <v>42</v>
      </c>
      <c r="E28" s="1" t="s">
        <v>17</v>
      </c>
      <c r="F28" s="10">
        <f>IF(F18*4%*1&lt;0,0,F18*4%*1)</f>
        <v>30.96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1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1" t="s">
        <v>11</v>
      </c>
      <c r="E30" s="1" t="s">
        <v>22</v>
      </c>
      <c r="F30" s="10">
        <f>SUM(F18:F29)</f>
        <v>8804.9599999999991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1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1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1" t="s">
        <v>87</v>
      </c>
      <c r="F34" s="12">
        <f>F30-F32</f>
        <v>8804.9599999999991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6" spans="1:256" ht="63" x14ac:dyDescent="0.5">
      <c r="A36" s="14"/>
      <c r="C36" s="9"/>
      <c r="D36" s="145" t="s">
        <v>259</v>
      </c>
    </row>
    <row r="37" spans="1:256" x14ac:dyDescent="0.35">
      <c r="B37" s="13"/>
      <c r="D37" s="6"/>
    </row>
    <row r="38" spans="1:256" x14ac:dyDescent="0.35">
      <c r="A38" s="21" t="s">
        <v>52</v>
      </c>
      <c r="C38" s="6"/>
    </row>
    <row r="39" spans="1:256" x14ac:dyDescent="0.35">
      <c r="A39" s="13" t="s">
        <v>106</v>
      </c>
      <c r="C39" s="6"/>
      <c r="K39" s="30"/>
    </row>
    <row r="40" spans="1:256" x14ac:dyDescent="0.35">
      <c r="A40" s="13"/>
      <c r="C40" s="6"/>
    </row>
    <row r="41" spans="1:256" x14ac:dyDescent="0.35">
      <c r="A41" s="13" t="s">
        <v>172</v>
      </c>
      <c r="C41" s="6"/>
    </row>
    <row r="42" spans="1:256" x14ac:dyDescent="0.35">
      <c r="B42" s="21" t="s">
        <v>173</v>
      </c>
      <c r="D42" s="6"/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V42"/>
  <sheetViews>
    <sheetView topLeftCell="B29" workbookViewId="0">
      <selection activeCell="F49" sqref="F49"/>
    </sheetView>
  </sheetViews>
  <sheetFormatPr defaultColWidth="9" defaultRowHeight="14.5" x14ac:dyDescent="0.35"/>
  <cols>
    <col min="1" max="1" width="2.81640625" style="1" hidden="1" customWidth="1"/>
    <col min="2" max="2" width="17.81640625" style="1" customWidth="1"/>
    <col min="3" max="3" width="8.984375E-2" style="1" customWidth="1"/>
    <col min="4" max="4" width="17.90625" style="1" customWidth="1"/>
    <col min="5" max="5" width="7" style="1" customWidth="1"/>
    <col min="6" max="6" width="13.726562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1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8" si="0">O4-Q4</f>
        <v>10304</v>
      </c>
      <c r="O4" s="1">
        <v>10304</v>
      </c>
    </row>
    <row r="5" spans="2:15" customForma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4" t="str">
        <f>meter!B49</f>
        <v xml:space="preserve"> RAHMA   FATUMA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22" t="s">
        <v>159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19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19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meter!E49</f>
        <v>22</v>
      </c>
      <c r="C16" s="7"/>
      <c r="D16" s="7">
        <f>meter!F49</f>
        <v>23</v>
      </c>
      <c r="E16" s="7" t="s">
        <v>18</v>
      </c>
      <c r="F16" s="8">
        <f>D16-B16</f>
        <v>1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1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1" t="s">
        <v>31</v>
      </c>
      <c r="E18" s="1" t="s">
        <v>22</v>
      </c>
      <c r="F18" s="1">
        <f>meter!O49</f>
        <v>0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1" t="s">
        <v>9</v>
      </c>
      <c r="E20" s="1" t="s">
        <v>17</v>
      </c>
      <c r="F20" s="1">
        <f>meter!I49</f>
        <v>150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x14ac:dyDescent="0.35">
      <c r="B22" s="1"/>
      <c r="C22" s="1"/>
      <c r="D22" s="1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1" t="s">
        <v>25</v>
      </c>
      <c r="E24" s="1" t="s">
        <v>17</v>
      </c>
      <c r="F24" s="10">
        <f>meter!N49</f>
        <v>8000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1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1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11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1" t="s">
        <v>42</v>
      </c>
      <c r="E28" s="1" t="s">
        <v>17</v>
      </c>
      <c r="F28" s="10">
        <f>IF(F18*4%*1&lt;0,0,F18*4%*1)</f>
        <v>0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1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1" t="s">
        <v>11</v>
      </c>
      <c r="E30" s="1" t="s">
        <v>22</v>
      </c>
      <c r="F30" s="10">
        <f>SUM(F17:F29)</f>
        <v>8150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1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1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1" t="s">
        <v>87</v>
      </c>
      <c r="F34" s="12">
        <f>F30-F32</f>
        <v>8150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ht="15.5" x14ac:dyDescent="0.35">
      <c r="B35" s="9"/>
      <c r="C35" s="6"/>
      <c r="N35" s="1">
        <f t="shared" si="0"/>
        <v>10270</v>
      </c>
      <c r="O35" s="1">
        <v>10270</v>
      </c>
    </row>
    <row r="36" spans="1:256" ht="15.5" x14ac:dyDescent="0.35">
      <c r="A36" s="21"/>
      <c r="C36" s="6"/>
      <c r="D36" s="123" t="s">
        <v>260</v>
      </c>
      <c r="L36" s="30"/>
      <c r="N36" s="1">
        <f t="shared" si="0"/>
        <v>10598</v>
      </c>
      <c r="O36" s="1">
        <v>10598</v>
      </c>
    </row>
    <row r="37" spans="1:256" x14ac:dyDescent="0.35">
      <c r="A37" s="13"/>
      <c r="C37" s="6"/>
      <c r="N37" s="1">
        <f t="shared" si="0"/>
        <v>8770</v>
      </c>
      <c r="O37" s="1">
        <v>8770</v>
      </c>
    </row>
    <row r="38" spans="1:256" x14ac:dyDescent="0.35">
      <c r="A38" s="21" t="s">
        <v>52</v>
      </c>
      <c r="C38" s="6"/>
      <c r="J38" s="30"/>
      <c r="K38" s="30"/>
      <c r="N38" s="1">
        <f t="shared" si="0"/>
        <v>8770</v>
      </c>
      <c r="O38" s="1">
        <v>8770</v>
      </c>
    </row>
    <row r="39" spans="1:256" x14ac:dyDescent="0.35">
      <c r="A39" s="13" t="s">
        <v>106</v>
      </c>
      <c r="C39" s="6"/>
      <c r="O39" s="1">
        <f>SUM(O3:O38)</f>
        <v>391268</v>
      </c>
      <c r="Q39" s="1">
        <f>SUM(Q3:Q38)</f>
        <v>0</v>
      </c>
    </row>
    <row r="40" spans="1:256" hidden="1" x14ac:dyDescent="0.35">
      <c r="A40" s="13"/>
      <c r="C40" s="6"/>
    </row>
    <row r="41" spans="1:256" x14ac:dyDescent="0.35">
      <c r="A41" s="13" t="s">
        <v>172</v>
      </c>
      <c r="C41" s="6"/>
    </row>
    <row r="42" spans="1:256" x14ac:dyDescent="0.35">
      <c r="B42" s="21" t="s">
        <v>173</v>
      </c>
      <c r="D42" s="6"/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V39"/>
  <sheetViews>
    <sheetView topLeftCell="B34" workbookViewId="0">
      <selection activeCell="E42" sqref="E42"/>
    </sheetView>
  </sheetViews>
  <sheetFormatPr defaultColWidth="9" defaultRowHeight="14.5" x14ac:dyDescent="0.35"/>
  <cols>
    <col min="1" max="1" width="9.1796875" style="1" hidden="1" customWidth="1"/>
    <col min="2" max="2" width="17" style="1" customWidth="1"/>
    <col min="3" max="3" width="1.7265625" style="1" customWidth="1"/>
    <col min="4" max="4" width="18.7265625" style="1" customWidth="1"/>
    <col min="5" max="5" width="10" style="1" customWidth="1"/>
    <col min="6" max="6" width="14.5429687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1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4" si="0">O4-Q4</f>
        <v>10304</v>
      </c>
      <c r="O4" s="1">
        <v>10304</v>
      </c>
    </row>
    <row r="5" spans="2:15" customForma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4" t="str">
        <f>meter!B50</f>
        <v>FOZIA MARYAN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22" t="s">
        <v>160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19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19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ht="29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meter!E50</f>
        <v>51</v>
      </c>
      <c r="C16" s="7"/>
      <c r="D16" s="7">
        <f>meter!F50</f>
        <v>52</v>
      </c>
      <c r="E16" s="7" t="s">
        <v>18</v>
      </c>
      <c r="F16" s="8">
        <f>D16-B16</f>
        <v>1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1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1" t="s">
        <v>31</v>
      </c>
      <c r="E18" s="1" t="s">
        <v>22</v>
      </c>
      <c r="F18" s="1">
        <f>meter!O50</f>
        <v>0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1" t="s">
        <v>9</v>
      </c>
      <c r="E20" s="1" t="s">
        <v>17</v>
      </c>
      <c r="F20" s="1">
        <f>meter!I50</f>
        <v>150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x14ac:dyDescent="0.35">
      <c r="B22" s="1"/>
      <c r="C22" s="1"/>
      <c r="D22" s="1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1" t="s">
        <v>25</v>
      </c>
      <c r="E24" s="1" t="s">
        <v>17</v>
      </c>
      <c r="F24" s="10">
        <f>meter!N50</f>
        <v>7500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1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1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11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1" t="s">
        <v>42</v>
      </c>
      <c r="E28" s="1" t="s">
        <v>17</v>
      </c>
      <c r="F28" s="10">
        <f>IF(F18*4%*1&lt;0,0,F18*4%*1)</f>
        <v>0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1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1" t="s">
        <v>11</v>
      </c>
      <c r="E30" s="1" t="s">
        <v>22</v>
      </c>
      <c r="F30" s="10">
        <f>SUM(F18:F29)</f>
        <v>7650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1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1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1" t="s">
        <v>87</v>
      </c>
      <c r="F34" s="12">
        <f>F30-F32</f>
        <v>7650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x14ac:dyDescent="0.35">
      <c r="A35" s="13" t="s">
        <v>52</v>
      </c>
      <c r="C35" s="6"/>
    </row>
    <row r="36" spans="1:256" ht="18.5" x14ac:dyDescent="0.45">
      <c r="A36" s="13" t="s">
        <v>106</v>
      </c>
      <c r="C36" s="6"/>
      <c r="D36" s="144" t="s">
        <v>261</v>
      </c>
    </row>
    <row r="37" spans="1:256" x14ac:dyDescent="0.35">
      <c r="A37" s="13"/>
      <c r="C37" s="6"/>
      <c r="J37" s="30"/>
    </row>
    <row r="38" spans="1:256" x14ac:dyDescent="0.35">
      <c r="A38" s="13" t="s">
        <v>172</v>
      </c>
      <c r="C38" s="6"/>
      <c r="K38" s="30"/>
    </row>
    <row r="39" spans="1:256" x14ac:dyDescent="0.35">
      <c r="B39" s="21" t="s">
        <v>173</v>
      </c>
      <c r="D39" s="6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V39"/>
  <sheetViews>
    <sheetView topLeftCell="A28" workbookViewId="0">
      <selection activeCell="D44" sqref="D44"/>
    </sheetView>
  </sheetViews>
  <sheetFormatPr defaultColWidth="9" defaultRowHeight="14.5" x14ac:dyDescent="0.35"/>
  <cols>
    <col min="1" max="1" width="0.90625" style="1" customWidth="1"/>
    <col min="2" max="2" width="18.1796875" style="1" customWidth="1"/>
    <col min="3" max="3" width="3.54296875" style="1" customWidth="1"/>
    <col min="4" max="4" width="18.54296875" style="1" customWidth="1"/>
    <col min="5" max="5" width="9.90625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1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4" si="0">O4-Q4</f>
        <v>10304</v>
      </c>
      <c r="O4" s="1">
        <v>10304</v>
      </c>
    </row>
    <row r="5" spans="2:15" customForma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4" t="str">
        <f>meter!B51</f>
        <v>ZEITUN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22" t="s">
        <v>161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19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19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meter!E51</f>
        <v>19</v>
      </c>
      <c r="C16" s="7"/>
      <c r="D16" s="7">
        <f>meter!F51</f>
        <v>19</v>
      </c>
      <c r="E16" s="7" t="s">
        <v>18</v>
      </c>
      <c r="F16" s="8">
        <f>D16-B16</f>
        <v>0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1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1" t="s">
        <v>31</v>
      </c>
      <c r="E18" s="1" t="s">
        <v>22</v>
      </c>
      <c r="F18" s="1">
        <f>meter!O51</f>
        <v>0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1" t="s">
        <v>9</v>
      </c>
      <c r="E20" s="1" t="s">
        <v>17</v>
      </c>
      <c r="F20" s="1">
        <f>meter!I51</f>
        <v>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x14ac:dyDescent="0.35">
      <c r="B22" s="1"/>
      <c r="C22" s="1"/>
      <c r="D22" s="1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1" t="s">
        <v>25</v>
      </c>
      <c r="E24" s="1" t="s">
        <v>17</v>
      </c>
      <c r="F24" s="10">
        <f>meter!N51</f>
        <v>8000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1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1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11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1" t="s">
        <v>42</v>
      </c>
      <c r="E28" s="1" t="s">
        <v>17</v>
      </c>
      <c r="F28" s="10">
        <f>IF(F18*4%*1&lt;0,0,F18*4%*1)</f>
        <v>0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1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1" t="s">
        <v>11</v>
      </c>
      <c r="E30" s="1" t="s">
        <v>22</v>
      </c>
      <c r="F30" s="10">
        <f>SUM(F18:F29)</f>
        <v>8000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1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1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1" t="s">
        <v>87</v>
      </c>
      <c r="F34" s="12">
        <f>F30-F32</f>
        <v>8000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x14ac:dyDescent="0.35">
      <c r="A35" s="13" t="s">
        <v>52</v>
      </c>
      <c r="C35" s="6"/>
    </row>
    <row r="36" spans="1:256" x14ac:dyDescent="0.35">
      <c r="A36" s="13" t="s">
        <v>106</v>
      </c>
      <c r="C36" s="6"/>
    </row>
    <row r="37" spans="1:256" x14ac:dyDescent="0.35">
      <c r="A37" s="13"/>
      <c r="C37" s="6"/>
      <c r="J37" s="30"/>
    </row>
    <row r="38" spans="1:256" ht="18.5" x14ac:dyDescent="0.45">
      <c r="A38" s="13"/>
      <c r="B38" s="144" t="s">
        <v>262</v>
      </c>
      <c r="C38" s="6"/>
    </row>
    <row r="39" spans="1:256" x14ac:dyDescent="0.35">
      <c r="B39" s="21" t="s">
        <v>173</v>
      </c>
      <c r="D39" s="6"/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V40"/>
  <sheetViews>
    <sheetView topLeftCell="A30" workbookViewId="0">
      <selection activeCell="D46" sqref="D45:D46"/>
    </sheetView>
  </sheetViews>
  <sheetFormatPr defaultColWidth="9" defaultRowHeight="14.5" x14ac:dyDescent="0.35"/>
  <cols>
    <col min="1" max="1" width="9.1796875" style="1" customWidth="1"/>
    <col min="2" max="2" width="17.453125" style="1" customWidth="1"/>
    <col min="3" max="3" width="0.54296875" style="1" customWidth="1"/>
    <col min="4" max="4" width="23.1796875" style="1" customWidth="1"/>
    <col min="5" max="5" width="9.1796875" style="1" customWidth="1"/>
    <col min="6" max="6" width="15" style="1" customWidth="1"/>
    <col min="7" max="8" width="9.1796875" style="1" customWidth="1"/>
    <col min="9" max="9" width="9.26953125" style="1" customWidth="1"/>
    <col min="10" max="10" width="8.54296875" style="1" customWidth="1"/>
    <col min="11" max="11" width="9.1796875" style="1" customWidth="1"/>
    <col min="12" max="12" width="27" style="1" customWidth="1"/>
    <col min="13" max="17" width="9.1796875" style="1" customWidth="1"/>
    <col min="18" max="18" width="9" style="1"/>
    <col min="19" max="256" width="9.1796875" style="1" customWidth="1"/>
  </cols>
  <sheetData>
    <row r="1" spans="2:15" customFormat="1" ht="23.5" x14ac:dyDescent="0.55000000000000004">
      <c r="B1" s="2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customFormat="1" x14ac:dyDescent="0.35">
      <c r="B2" s="1" t="str">
        <f>'1A'!B2</f>
        <v>P.O BOX 9473-00200 NAIROBI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115</v>
      </c>
      <c r="O2" s="1" t="s">
        <v>114</v>
      </c>
    </row>
    <row r="3" spans="2:15" customFormat="1" ht="18.5" x14ac:dyDescent="0.45"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f>O3-Q3</f>
        <v>10270</v>
      </c>
      <c r="O3" s="1">
        <v>10270</v>
      </c>
    </row>
    <row r="4" spans="2:15" customFormat="1" x14ac:dyDescent="0.35">
      <c r="B4" s="1"/>
      <c r="C4" s="1"/>
      <c r="D4" s="1"/>
      <c r="E4" s="1"/>
      <c r="F4" s="1"/>
      <c r="G4" s="1"/>
      <c r="H4" s="1" t="s">
        <v>6</v>
      </c>
      <c r="I4" s="1">
        <f>'1A'!H3+34-1</f>
        <v>71</v>
      </c>
      <c r="J4" s="1">
        <f>'1A'!H3+34-1</f>
        <v>71</v>
      </c>
      <c r="K4" s="1"/>
      <c r="L4" s="1"/>
      <c r="M4" s="1"/>
      <c r="N4" s="1">
        <f t="shared" ref="N4:N38" si="0">O4-Q4</f>
        <v>10304</v>
      </c>
      <c r="O4" s="1">
        <v>10304</v>
      </c>
    </row>
    <row r="5" spans="2:15" customForma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10988</v>
      </c>
      <c r="O5" s="1">
        <v>10988</v>
      </c>
    </row>
    <row r="6" spans="2:15" customFormat="1" x14ac:dyDescent="0.35">
      <c r="B6" s="1" t="s">
        <v>7</v>
      </c>
      <c r="C6" s="1"/>
      <c r="D6" s="4" t="str">
        <f>meter!B52</f>
        <v>ALBASHIR</v>
      </c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11070</v>
      </c>
      <c r="O6" s="1">
        <v>11070</v>
      </c>
    </row>
    <row r="7" spans="2:15" customForma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1197</v>
      </c>
      <c r="O7" s="1">
        <v>1197</v>
      </c>
    </row>
    <row r="8" spans="2:15" customFormat="1" x14ac:dyDescent="0.35">
      <c r="B8" s="1" t="s">
        <v>57</v>
      </c>
      <c r="C8" s="1"/>
      <c r="D8" s="22" t="s">
        <v>162</v>
      </c>
      <c r="E8" s="1"/>
      <c r="F8" s="1"/>
      <c r="G8" s="1"/>
      <c r="H8" s="1"/>
      <c r="I8" s="1"/>
      <c r="J8" s="1"/>
      <c r="K8" s="1"/>
      <c r="L8" s="1"/>
      <c r="M8" s="1"/>
      <c r="N8" s="1">
        <f t="shared" si="0"/>
        <v>9250</v>
      </c>
      <c r="O8" s="1">
        <v>9250</v>
      </c>
    </row>
    <row r="9" spans="2:15" customForma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f t="shared" si="0"/>
        <v>8770</v>
      </c>
      <c r="O9" s="1">
        <v>8770</v>
      </c>
    </row>
    <row r="10" spans="2:15" customFormat="1" x14ac:dyDescent="0.35">
      <c r="B10" s="1" t="s">
        <v>1</v>
      </c>
      <c r="C10" s="1"/>
      <c r="D10" s="19" t="str">
        <f>'1A'!C9</f>
        <v>30TH JAN 2026</v>
      </c>
      <c r="E10" s="1"/>
      <c r="F10" s="1"/>
      <c r="G10" s="1"/>
      <c r="H10" s="1"/>
      <c r="I10" s="1"/>
      <c r="J10" s="1"/>
      <c r="K10" s="1"/>
      <c r="L10" s="1"/>
      <c r="M10" s="1"/>
      <c r="N10" s="1">
        <f t="shared" si="0"/>
        <v>23190</v>
      </c>
      <c r="O10" s="1">
        <v>23190</v>
      </c>
    </row>
    <row r="11" spans="2:15" customForma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10910</v>
      </c>
      <c r="O11" s="1">
        <v>10910</v>
      </c>
    </row>
    <row r="12" spans="2:15" customFormat="1" x14ac:dyDescent="0.35">
      <c r="B12" s="1" t="s">
        <v>2</v>
      </c>
      <c r="C12" s="1"/>
      <c r="D12" s="19" t="str">
        <f>'1A'!C11</f>
        <v>5TH FEB 2026</v>
      </c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10910</v>
      </c>
      <c r="O12" s="1">
        <v>10910</v>
      </c>
    </row>
    <row r="13" spans="2:15" customForma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f t="shared" si="0"/>
        <v>12190</v>
      </c>
      <c r="O13" s="1">
        <v>12190</v>
      </c>
    </row>
    <row r="14" spans="2:15" customForma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 t="shared" si="0"/>
        <v>11070</v>
      </c>
      <c r="O14" s="1">
        <v>11070</v>
      </c>
    </row>
    <row r="15" spans="2:15" customFormat="1" x14ac:dyDescent="0.35">
      <c r="B15" s="6" t="s">
        <v>3</v>
      </c>
      <c r="C15" s="1"/>
      <c r="D15" s="6" t="s">
        <v>4</v>
      </c>
      <c r="E15" s="1"/>
      <c r="F15" s="1" t="s">
        <v>5</v>
      </c>
      <c r="G15" s="1"/>
      <c r="H15" s="1"/>
      <c r="I15" s="1"/>
      <c r="J15" s="1"/>
      <c r="K15" s="1"/>
      <c r="L15" s="1"/>
      <c r="M15" s="1"/>
      <c r="N15" s="1">
        <f t="shared" si="0"/>
        <v>9090</v>
      </c>
      <c r="O15" s="1">
        <v>9090</v>
      </c>
    </row>
    <row r="16" spans="2:15" customFormat="1" x14ac:dyDescent="0.35">
      <c r="B16" s="7">
        <f>meter!E52</f>
        <v>34</v>
      </c>
      <c r="C16" s="7"/>
      <c r="D16" s="7">
        <f>meter!F52</f>
        <v>36</v>
      </c>
      <c r="E16" s="7" t="s">
        <v>18</v>
      </c>
      <c r="F16" s="8">
        <f>D16-B16</f>
        <v>2</v>
      </c>
      <c r="G16" s="1"/>
      <c r="H16" s="1"/>
      <c r="I16" s="1"/>
      <c r="J16" s="1"/>
      <c r="K16" s="1"/>
      <c r="L16" s="1"/>
      <c r="M16" s="1"/>
      <c r="N16" s="1">
        <f t="shared" si="0"/>
        <v>9420</v>
      </c>
      <c r="O16" s="1">
        <v>9420</v>
      </c>
    </row>
    <row r="17" spans="2:15" customFormat="1" x14ac:dyDescent="0.35">
      <c r="B17" s="1"/>
      <c r="C17" s="1"/>
      <c r="D17" s="1"/>
      <c r="E17" s="1"/>
      <c r="F17" s="1" t="s">
        <v>62</v>
      </c>
      <c r="G17" s="1"/>
      <c r="H17" s="1"/>
      <c r="I17" s="1"/>
      <c r="J17" s="1"/>
      <c r="K17" s="1"/>
      <c r="L17" s="1"/>
      <c r="M17" s="1"/>
      <c r="N17" s="1">
        <f t="shared" si="0"/>
        <v>11154</v>
      </c>
      <c r="O17" s="1">
        <v>11154</v>
      </c>
    </row>
    <row r="18" spans="2:15" customFormat="1" x14ac:dyDescent="0.35">
      <c r="B18" s="1"/>
      <c r="C18" s="1"/>
      <c r="D18" s="1" t="s">
        <v>31</v>
      </c>
      <c r="E18" s="1" t="s">
        <v>22</v>
      </c>
      <c r="F18" s="1">
        <f>meter!O52</f>
        <v>1064</v>
      </c>
      <c r="G18" s="1"/>
      <c r="H18" s="1"/>
      <c r="I18" s="1"/>
      <c r="J18" s="1"/>
      <c r="K18" s="1"/>
      <c r="L18" s="1"/>
      <c r="M18" s="1"/>
      <c r="N18" s="1">
        <f t="shared" si="0"/>
        <v>10430</v>
      </c>
      <c r="O18" s="1">
        <v>10430</v>
      </c>
    </row>
    <row r="19" spans="2:15" customFormat="1" ht="15.5" x14ac:dyDescent="0.35"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 t="shared" si="0"/>
        <v>11831</v>
      </c>
      <c r="O19" s="1">
        <v>11831</v>
      </c>
    </row>
    <row r="20" spans="2:15" customFormat="1" x14ac:dyDescent="0.35">
      <c r="B20" s="1"/>
      <c r="C20" s="1"/>
      <c r="D20" s="1" t="s">
        <v>9</v>
      </c>
      <c r="E20" s="1" t="s">
        <v>17</v>
      </c>
      <c r="F20" s="1">
        <f>meter!I52</f>
        <v>300</v>
      </c>
      <c r="G20" s="1"/>
      <c r="H20" s="1"/>
      <c r="I20" s="1"/>
      <c r="J20" s="1"/>
      <c r="K20" s="1"/>
      <c r="L20" s="1"/>
      <c r="M20" s="1"/>
      <c r="N20" s="1">
        <f t="shared" si="0"/>
        <v>10590</v>
      </c>
      <c r="O20" s="1">
        <v>10590</v>
      </c>
    </row>
    <row r="21" spans="2:15" customFormat="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22423</v>
      </c>
      <c r="O21" s="1">
        <v>22423</v>
      </c>
    </row>
    <row r="22" spans="2:15" customFormat="1" x14ac:dyDescent="0.35">
      <c r="B22" s="1"/>
      <c r="C22" s="1"/>
      <c r="D22" s="1" t="s">
        <v>80</v>
      </c>
      <c r="E22" s="1" t="s">
        <v>17</v>
      </c>
      <c r="F22" s="1">
        <f>'1A'!E21</f>
        <v>0</v>
      </c>
      <c r="G22" s="1"/>
      <c r="H22" s="1"/>
      <c r="I22" s="1"/>
      <c r="J22" s="1"/>
      <c r="K22" s="1"/>
      <c r="L22" s="1"/>
      <c r="M22" s="1"/>
      <c r="N22" s="1">
        <f t="shared" si="0"/>
        <v>9250</v>
      </c>
      <c r="O22" s="1">
        <v>9250</v>
      </c>
    </row>
    <row r="23" spans="2:15" customFormat="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10162</v>
      </c>
      <c r="O23" s="1">
        <v>10162</v>
      </c>
    </row>
    <row r="24" spans="2:15" customFormat="1" x14ac:dyDescent="0.35">
      <c r="B24" s="1"/>
      <c r="C24" s="1"/>
      <c r="D24" s="1" t="s">
        <v>25</v>
      </c>
      <c r="E24" s="1" t="s">
        <v>17</v>
      </c>
      <c r="F24" s="10">
        <f>meter!N52</f>
        <v>8000</v>
      </c>
      <c r="G24" s="1"/>
      <c r="H24" s="1"/>
      <c r="I24" s="1"/>
      <c r="J24" s="1"/>
      <c r="K24" s="1"/>
      <c r="L24" s="1"/>
      <c r="M24" s="1"/>
      <c r="N24" s="1">
        <f t="shared" si="0"/>
        <v>10270</v>
      </c>
      <c r="O24" s="1">
        <v>10270</v>
      </c>
    </row>
    <row r="25" spans="2:15" customFormat="1" x14ac:dyDescent="0.35">
      <c r="B25" s="1"/>
      <c r="C25" s="1"/>
      <c r="D25" s="1"/>
      <c r="E25" s="1"/>
      <c r="F25" s="10"/>
      <c r="G25" s="1"/>
      <c r="H25" s="1"/>
      <c r="I25" s="1"/>
      <c r="J25" s="1"/>
      <c r="K25" s="1"/>
      <c r="L25" s="1"/>
      <c r="M25" s="1"/>
      <c r="N25" s="1">
        <f t="shared" si="0"/>
        <v>11070</v>
      </c>
      <c r="O25" s="1">
        <v>11070</v>
      </c>
    </row>
    <row r="26" spans="2:15" customFormat="1" x14ac:dyDescent="0.35">
      <c r="B26" s="1"/>
      <c r="C26" s="1"/>
      <c r="D26" s="1" t="str">
        <f>'1A'!C25</f>
        <v>SECURITY</v>
      </c>
      <c r="E26" s="1" t="str">
        <f>'1A'!D25</f>
        <v>Kshs.</v>
      </c>
      <c r="F26" s="1">
        <f>meter!M37</f>
        <v>0</v>
      </c>
      <c r="G26" s="1"/>
      <c r="H26" s="1"/>
      <c r="I26" s="1"/>
      <c r="J26" s="1"/>
      <c r="K26" s="1"/>
      <c r="L26" s="1"/>
      <c r="M26" s="1"/>
      <c r="N26" s="1">
        <f t="shared" si="0"/>
        <v>11550</v>
      </c>
      <c r="O26" s="1">
        <v>11550</v>
      </c>
    </row>
    <row r="27" spans="2:15" customFormat="1" x14ac:dyDescent="0.35">
      <c r="B27" s="1"/>
      <c r="C27" s="1"/>
      <c r="D27" s="11" t="s">
        <v>117</v>
      </c>
      <c r="E27" s="11" t="s">
        <v>22</v>
      </c>
      <c r="F27" s="10">
        <v>0</v>
      </c>
      <c r="G27" s="1"/>
      <c r="H27" s="1"/>
      <c r="I27" s="1"/>
      <c r="J27" s="1"/>
      <c r="K27" s="1"/>
      <c r="L27" s="1"/>
      <c r="M27" s="1"/>
      <c r="N27" s="1">
        <f t="shared" si="0"/>
        <v>11393</v>
      </c>
      <c r="O27" s="1">
        <v>11393</v>
      </c>
    </row>
    <row r="28" spans="2:15" customFormat="1" x14ac:dyDescent="0.35">
      <c r="B28" s="1"/>
      <c r="C28" s="1"/>
      <c r="D28" s="1" t="s">
        <v>42</v>
      </c>
      <c r="E28" s="1" t="s">
        <v>17</v>
      </c>
      <c r="F28" s="10">
        <f>IF(F18*4%*1&lt;0,0,F18*4%*1)</f>
        <v>42.56</v>
      </c>
      <c r="G28" s="1"/>
      <c r="H28" s="1"/>
      <c r="I28" s="1"/>
      <c r="J28" s="1"/>
      <c r="K28" s="1"/>
      <c r="L28" s="1"/>
      <c r="M28" s="1"/>
      <c r="N28" s="1">
        <f t="shared" si="0"/>
        <v>10802</v>
      </c>
      <c r="O28" s="1">
        <v>10802</v>
      </c>
    </row>
    <row r="29" spans="2:15" customFormat="1" x14ac:dyDescent="0.35">
      <c r="B29" s="1"/>
      <c r="C29" s="1"/>
      <c r="D29" s="1"/>
      <c r="E29" s="1"/>
      <c r="F29" s="10"/>
      <c r="G29" s="1"/>
      <c r="H29" s="1"/>
      <c r="I29" s="1"/>
      <c r="J29" s="1"/>
      <c r="K29" s="1"/>
      <c r="L29" s="1" t="s">
        <v>43</v>
      </c>
      <c r="M29" s="1"/>
      <c r="N29" s="1">
        <f t="shared" si="0"/>
        <v>8930</v>
      </c>
      <c r="O29" s="1">
        <v>8930</v>
      </c>
    </row>
    <row r="30" spans="2:15" customFormat="1" x14ac:dyDescent="0.35">
      <c r="B30" s="1"/>
      <c r="C30" s="1"/>
      <c r="D30" s="1" t="s">
        <v>11</v>
      </c>
      <c r="E30" s="1" t="s">
        <v>22</v>
      </c>
      <c r="F30" s="10">
        <f>SUM(F17:F29)</f>
        <v>9406.56</v>
      </c>
      <c r="G30" s="1"/>
      <c r="H30" s="12"/>
      <c r="I30" s="1"/>
      <c r="J30" s="1"/>
      <c r="K30" s="1"/>
      <c r="L30" s="12"/>
      <c r="M30" s="1"/>
      <c r="N30" s="1">
        <f t="shared" si="0"/>
        <v>9570</v>
      </c>
      <c r="O30" s="1">
        <v>9570</v>
      </c>
    </row>
    <row r="31" spans="2:15" customFormat="1" x14ac:dyDescent="0.35">
      <c r="B31" s="1"/>
      <c r="C31" s="1"/>
      <c r="D31" s="1"/>
      <c r="E31" s="1"/>
      <c r="F31" s="10"/>
      <c r="G31" s="1"/>
      <c r="H31" s="1"/>
      <c r="I31" s="1"/>
      <c r="J31" s="1"/>
      <c r="K31" s="1"/>
      <c r="L31" s="1"/>
      <c r="M31" s="1"/>
      <c r="N31" s="1">
        <f t="shared" si="0"/>
        <v>11390</v>
      </c>
      <c r="O31" s="1">
        <v>11390</v>
      </c>
    </row>
    <row r="32" spans="2:15" customFormat="1" x14ac:dyDescent="0.35">
      <c r="B32" s="1"/>
      <c r="C32" s="1"/>
      <c r="D32" s="1" t="s">
        <v>34</v>
      </c>
      <c r="E32" s="1"/>
      <c r="F32" s="10">
        <f>meter!T37</f>
        <v>0</v>
      </c>
      <c r="G32" s="1"/>
      <c r="H32" s="1"/>
      <c r="I32" s="1"/>
      <c r="J32" s="1"/>
      <c r="K32" s="1"/>
      <c r="L32" s="1"/>
      <c r="M32" s="1"/>
      <c r="N32" s="1">
        <f t="shared" si="0"/>
        <v>10750</v>
      </c>
      <c r="O32" s="1">
        <v>10750</v>
      </c>
    </row>
    <row r="33" spans="1:256" x14ac:dyDescent="0.35">
      <c r="F33" s="10"/>
      <c r="N33" s="1">
        <f t="shared" si="0"/>
        <v>11732</v>
      </c>
      <c r="O33" s="1">
        <v>11732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35">
      <c r="D34" s="1" t="s">
        <v>87</v>
      </c>
      <c r="F34" s="12">
        <f>F30-F32</f>
        <v>9406.56</v>
      </c>
      <c r="N34" s="1">
        <f t="shared" si="0"/>
        <v>10934</v>
      </c>
      <c r="O34" s="1">
        <v>10934</v>
      </c>
      <c r="R34" s="1">
        <v>700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x14ac:dyDescent="0.35">
      <c r="A35" s="21" t="s">
        <v>52</v>
      </c>
      <c r="C35" s="6"/>
      <c r="N35" s="1">
        <f t="shared" si="0"/>
        <v>10270</v>
      </c>
      <c r="O35" s="1">
        <v>10270</v>
      </c>
    </row>
    <row r="36" spans="1:256" x14ac:dyDescent="0.35">
      <c r="A36" s="13" t="s">
        <v>106</v>
      </c>
      <c r="C36" s="6"/>
      <c r="L36" s="30"/>
      <c r="N36" s="1">
        <f t="shared" si="0"/>
        <v>10598</v>
      </c>
      <c r="O36" s="1">
        <v>10598</v>
      </c>
    </row>
    <row r="37" spans="1:256" x14ac:dyDescent="0.35">
      <c r="A37" s="13"/>
      <c r="C37" s="6"/>
      <c r="J37" s="30"/>
      <c r="N37" s="1">
        <f t="shared" si="0"/>
        <v>8770</v>
      </c>
      <c r="O37" s="1">
        <v>8770</v>
      </c>
    </row>
    <row r="38" spans="1:256" ht="21" x14ac:dyDescent="0.5">
      <c r="A38" s="142" t="s">
        <v>263</v>
      </c>
      <c r="C38" s="6"/>
      <c r="K38" s="30"/>
      <c r="N38" s="1">
        <f t="shared" si="0"/>
        <v>8770</v>
      </c>
      <c r="O38" s="1">
        <v>8770</v>
      </c>
    </row>
    <row r="39" spans="1:256" x14ac:dyDescent="0.35">
      <c r="B39" s="21" t="s">
        <v>173</v>
      </c>
      <c r="D39" s="6"/>
      <c r="O39" s="1">
        <f>SUM(O3:O38)</f>
        <v>391268</v>
      </c>
      <c r="Q39" s="1">
        <f>SUM(Q3:Q38)</f>
        <v>0</v>
      </c>
    </row>
    <row r="40" spans="1:256" hidden="1" x14ac:dyDescent="0.35">
      <c r="B40" s="13"/>
      <c r="D40" s="6"/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V42"/>
  <sheetViews>
    <sheetView topLeftCell="B32" zoomScale="115" workbookViewId="0">
      <selection activeCell="E46" sqref="E46"/>
    </sheetView>
  </sheetViews>
  <sheetFormatPr defaultColWidth="9" defaultRowHeight="14.5" x14ac:dyDescent="0.35"/>
  <cols>
    <col min="1" max="1" width="9.1796875" style="1" hidden="1" customWidth="1"/>
    <col min="2" max="2" width="14.6328125" style="1" customWidth="1"/>
    <col min="3" max="3" width="1.36328125" style="1" customWidth="1"/>
    <col min="4" max="4" width="16.7265625" style="1" customWidth="1"/>
    <col min="5" max="5" width="7.1796875" style="1" customWidth="1"/>
    <col min="6" max="6" width="9.1796875" style="1" customWidth="1"/>
    <col min="7" max="7" width="5.81640625" style="1" customWidth="1"/>
    <col min="8" max="8" width="9.1796875" style="1" customWidth="1"/>
    <col min="9" max="9" width="6.08984375" style="1" customWidth="1"/>
    <col min="10" max="10" width="2.6328125" style="1" customWidth="1"/>
    <col min="11" max="17" width="9.1796875" style="1" customWidth="1"/>
    <col min="18" max="18" width="0" style="1" hidden="1"/>
    <col min="19" max="256" width="9.1796875" style="1" customWidth="1"/>
  </cols>
  <sheetData>
    <row r="1" spans="2:9" ht="23.5" x14ac:dyDescent="0.55000000000000004">
      <c r="B1" s="2" t="s">
        <v>164</v>
      </c>
    </row>
    <row r="2" spans="2:9" x14ac:dyDescent="0.35">
      <c r="B2" s="1" t="str">
        <f>'1A'!B2</f>
        <v>P.O BOX 9473-00200 NAIROBI</v>
      </c>
    </row>
    <row r="3" spans="2:9" ht="18.5" x14ac:dyDescent="0.45">
      <c r="B3" s="3" t="s">
        <v>0</v>
      </c>
    </row>
    <row r="4" spans="2:9" x14ac:dyDescent="0.35">
      <c r="H4" s="1" t="s">
        <v>6</v>
      </c>
      <c r="I4" s="1">
        <f>'1A'!H3+37-1</f>
        <v>74</v>
      </c>
    </row>
    <row r="6" spans="2:9" x14ac:dyDescent="0.35">
      <c r="B6" s="1" t="s">
        <v>7</v>
      </c>
      <c r="D6" s="4" t="str">
        <f>meter!B53</f>
        <v>OSAMA ABDULAHI</v>
      </c>
    </row>
    <row r="8" spans="2:9" x14ac:dyDescent="0.35">
      <c r="B8" s="1" t="s">
        <v>57</v>
      </c>
      <c r="D8" s="22" t="s">
        <v>163</v>
      </c>
    </row>
    <row r="9" spans="2:9" x14ac:dyDescent="0.35">
      <c r="D9" s="25"/>
    </row>
    <row r="10" spans="2:9" x14ac:dyDescent="0.35">
      <c r="B10" s="1" t="s">
        <v>1</v>
      </c>
      <c r="D10" s="19" t="str">
        <f>'1A'!C9</f>
        <v>30TH JAN 2026</v>
      </c>
    </row>
    <row r="12" spans="2:9" x14ac:dyDescent="0.35">
      <c r="B12" s="1" t="s">
        <v>2</v>
      </c>
      <c r="D12" s="19" t="str">
        <f>'1A'!C11</f>
        <v>5TH FEB 2026</v>
      </c>
    </row>
    <row r="15" spans="2:9" ht="29" x14ac:dyDescent="0.35">
      <c r="B15" s="6" t="s">
        <v>3</v>
      </c>
      <c r="D15" s="6" t="s">
        <v>4</v>
      </c>
      <c r="F15" s="1" t="s">
        <v>5</v>
      </c>
    </row>
    <row r="16" spans="2:9" x14ac:dyDescent="0.35">
      <c r="B16" s="7">
        <f>meter!E53</f>
        <v>15</v>
      </c>
      <c r="C16" s="7"/>
      <c r="D16" s="7">
        <f>meter!F53</f>
        <v>16</v>
      </c>
      <c r="E16" s="7" t="s">
        <v>18</v>
      </c>
      <c r="F16" s="8">
        <f>D16-B16</f>
        <v>1</v>
      </c>
    </row>
    <row r="17" spans="2:8" x14ac:dyDescent="0.35">
      <c r="F17" s="1" t="s">
        <v>62</v>
      </c>
    </row>
    <row r="18" spans="2:8" x14ac:dyDescent="0.35">
      <c r="D18" s="1" t="s">
        <v>31</v>
      </c>
      <c r="E18" s="1" t="s">
        <v>22</v>
      </c>
      <c r="F18" s="10">
        <f>meter!O53</f>
        <v>725</v>
      </c>
    </row>
    <row r="19" spans="2:8" ht="15.5" x14ac:dyDescent="0.35">
      <c r="B19" s="9"/>
    </row>
    <row r="20" spans="2:8" x14ac:dyDescent="0.35">
      <c r="D20" s="1" t="s">
        <v>9</v>
      </c>
      <c r="E20" s="1" t="s">
        <v>17</v>
      </c>
      <c r="F20" s="1">
        <f>meter!I53</f>
        <v>150</v>
      </c>
    </row>
    <row r="22" spans="2:8" x14ac:dyDescent="0.35">
      <c r="D22" s="1" t="s">
        <v>80</v>
      </c>
      <c r="E22" s="1" t="s">
        <v>17</v>
      </c>
      <c r="F22" s="1">
        <f>'1A'!E21</f>
        <v>0</v>
      </c>
    </row>
    <row r="24" spans="2:8" x14ac:dyDescent="0.35">
      <c r="D24" s="1" t="s">
        <v>25</v>
      </c>
      <c r="E24" s="1" t="s">
        <v>17</v>
      </c>
      <c r="F24" s="10">
        <f>meter!N53</f>
        <v>7500</v>
      </c>
    </row>
    <row r="25" spans="2:8" x14ac:dyDescent="0.35">
      <c r="F25" s="10"/>
    </row>
    <row r="26" spans="2:8" x14ac:dyDescent="0.35">
      <c r="D26" s="1" t="str">
        <f>'1A'!C25</f>
        <v>SECURITY</v>
      </c>
      <c r="E26" s="1" t="str">
        <f>'1A'!D25</f>
        <v>Kshs.</v>
      </c>
      <c r="F26" s="1">
        <f>meter!M39</f>
        <v>0</v>
      </c>
    </row>
    <row r="27" spans="2:8" x14ac:dyDescent="0.35">
      <c r="D27" s="11" t="s">
        <v>117</v>
      </c>
      <c r="E27" s="11" t="s">
        <v>22</v>
      </c>
      <c r="F27" s="10"/>
    </row>
    <row r="28" spans="2:8" x14ac:dyDescent="0.35">
      <c r="D28" s="1" t="s">
        <v>92</v>
      </c>
      <c r="E28" s="1" t="s">
        <v>17</v>
      </c>
      <c r="F28" s="10">
        <f>IF(F18*4%*1&lt;0,0,F18*4%*1)</f>
        <v>29</v>
      </c>
    </row>
    <row r="29" spans="2:8" x14ac:dyDescent="0.35">
      <c r="F29" s="10"/>
    </row>
    <row r="30" spans="2:8" x14ac:dyDescent="0.35">
      <c r="D30" s="1" t="s">
        <v>11</v>
      </c>
      <c r="E30" s="1" t="s">
        <v>22</v>
      </c>
      <c r="F30" s="10">
        <f>SUM(F17:F29)</f>
        <v>8404</v>
      </c>
      <c r="H30" s="12"/>
    </row>
    <row r="31" spans="2:8" x14ac:dyDescent="0.35">
      <c r="F31" s="10"/>
    </row>
    <row r="32" spans="2:8" x14ac:dyDescent="0.35">
      <c r="D32" s="1" t="s">
        <v>34</v>
      </c>
      <c r="F32" s="10">
        <f>meter!T38</f>
        <v>0</v>
      </c>
    </row>
    <row r="33" spans="1:10" x14ac:dyDescent="0.35">
      <c r="F33" s="10"/>
    </row>
    <row r="34" spans="1:10" x14ac:dyDescent="0.35">
      <c r="D34" s="1" t="s">
        <v>87</v>
      </c>
      <c r="F34" s="12">
        <f>F30-F32</f>
        <v>8404</v>
      </c>
    </row>
    <row r="37" spans="1:10" ht="15.5" x14ac:dyDescent="0.35">
      <c r="B37" s="9" t="s">
        <v>12</v>
      </c>
      <c r="C37" s="6"/>
    </row>
    <row r="38" spans="1:10" ht="15.5" x14ac:dyDescent="0.35">
      <c r="A38" s="13" t="s">
        <v>52</v>
      </c>
      <c r="C38" s="6"/>
      <c r="D38" s="123" t="s">
        <v>264</v>
      </c>
    </row>
    <row r="39" spans="1:10" x14ac:dyDescent="0.35">
      <c r="A39" s="13" t="s">
        <v>106</v>
      </c>
      <c r="C39" s="6"/>
    </row>
    <row r="40" spans="1:10" x14ac:dyDescent="0.35">
      <c r="A40" s="13"/>
      <c r="C40" s="6"/>
      <c r="J40" s="30"/>
    </row>
    <row r="41" spans="1:10" x14ac:dyDescent="0.35">
      <c r="A41" s="13" t="s">
        <v>172</v>
      </c>
      <c r="C41" s="6"/>
    </row>
    <row r="42" spans="1:10" x14ac:dyDescent="0.35">
      <c r="B42" s="21" t="s">
        <v>173</v>
      </c>
      <c r="D42" s="6"/>
    </row>
  </sheetData>
  <pageMargins left="0.7" right="0.7" top="0.75" bottom="0.75" header="0.3" footer="0.3"/>
  <pageSetup paperSize="9" scale="53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X82"/>
  <sheetViews>
    <sheetView tabSelected="1" topLeftCell="A34" zoomScale="55" workbookViewId="0">
      <selection activeCell="P45" sqref="P45"/>
    </sheetView>
  </sheetViews>
  <sheetFormatPr defaultColWidth="9" defaultRowHeight="21" x14ac:dyDescent="0.5"/>
  <cols>
    <col min="1" max="1" width="5.26953125" customWidth="1"/>
    <col min="2" max="2" width="43.81640625" style="58" customWidth="1"/>
    <col min="3" max="3" width="9.453125" style="58" customWidth="1"/>
    <col min="4" max="4" width="15.81640625" style="58" customWidth="1"/>
    <col min="5" max="6" width="15.26953125" style="59" customWidth="1"/>
    <col min="7" max="7" width="14.26953125" style="58" customWidth="1"/>
    <col min="8" max="8" width="12.453125" style="58" customWidth="1"/>
    <col min="9" max="9" width="15.7265625" style="60" customWidth="1"/>
    <col min="10" max="10" width="14.1796875" style="58" customWidth="1"/>
    <col min="11" max="11" width="15.81640625" style="58" customWidth="1"/>
    <col min="12" max="12" width="11.81640625" style="58" customWidth="1"/>
    <col min="13" max="13" width="13.1796875" style="58" customWidth="1"/>
    <col min="14" max="14" width="17" style="58" customWidth="1"/>
    <col min="15" max="15" width="14.1796875" style="61" customWidth="1"/>
    <col min="16" max="16" width="17.453125" style="58" customWidth="1"/>
    <col min="17" max="17" width="15" style="58" customWidth="1"/>
    <col min="18" max="18" width="11.54296875" style="58" customWidth="1"/>
    <col min="19" max="19" width="17.7265625" style="58" customWidth="1"/>
    <col min="20" max="20" width="9" style="58" customWidth="1"/>
    <col min="21" max="21" width="18" style="58" customWidth="1"/>
    <col min="22" max="22" width="32.1796875" style="58" customWidth="1"/>
    <col min="23" max="23" width="9" style="58" customWidth="1"/>
    <col min="24" max="24" width="12.7265625" style="58" customWidth="1"/>
    <col min="25" max="25" width="34.7265625" style="60" customWidth="1"/>
    <col min="26" max="26" width="23.7265625" style="58" customWidth="1"/>
    <col min="27" max="258" width="9" style="58" customWidth="1"/>
  </cols>
  <sheetData>
    <row r="1" spans="1:258" ht="180.75" customHeight="1" x14ac:dyDescent="0.5"/>
    <row r="2" spans="1:258" ht="28.5" customHeight="1" x14ac:dyDescent="0.5">
      <c r="B2" s="62"/>
      <c r="C2" s="62"/>
      <c r="D2" s="62"/>
      <c r="E2" s="63"/>
      <c r="F2" s="63"/>
      <c r="G2" s="62"/>
      <c r="H2" s="62"/>
      <c r="I2" s="64"/>
      <c r="K2" s="62"/>
      <c r="L2" s="62"/>
      <c r="M2" s="62"/>
      <c r="N2" s="62"/>
      <c r="O2" s="65"/>
      <c r="P2" s="62"/>
      <c r="Q2" s="62"/>
      <c r="R2" s="62"/>
      <c r="S2" s="62"/>
      <c r="T2" s="62"/>
      <c r="U2" s="62"/>
      <c r="V2" s="62"/>
      <c r="W2" s="62"/>
      <c r="X2" s="62"/>
      <c r="Y2" s="64"/>
      <c r="Z2" s="62"/>
      <c r="AA2" s="62"/>
    </row>
    <row r="3" spans="1:258" s="66" customFormat="1" ht="84" x14ac:dyDescent="0.5">
      <c r="B3" s="67" t="s">
        <v>97</v>
      </c>
      <c r="C3" s="67" t="s">
        <v>39</v>
      </c>
      <c r="D3" s="67" t="s">
        <v>36</v>
      </c>
      <c r="E3" s="68" t="s">
        <v>186</v>
      </c>
      <c r="F3" s="68" t="s">
        <v>37</v>
      </c>
      <c r="G3" s="67" t="s">
        <v>38</v>
      </c>
      <c r="H3" s="67" t="s">
        <v>41</v>
      </c>
      <c r="I3" s="69" t="s">
        <v>119</v>
      </c>
      <c r="J3" s="70" t="s">
        <v>40</v>
      </c>
      <c r="K3" s="70" t="s">
        <v>45</v>
      </c>
      <c r="L3" s="70" t="s">
        <v>117</v>
      </c>
      <c r="M3" s="67" t="s">
        <v>30</v>
      </c>
      <c r="N3" s="67" t="s">
        <v>32</v>
      </c>
      <c r="O3" s="71" t="s">
        <v>85</v>
      </c>
      <c r="P3" s="67" t="s">
        <v>115</v>
      </c>
      <c r="Q3" s="67" t="s">
        <v>114</v>
      </c>
      <c r="R3" s="70" t="s">
        <v>90</v>
      </c>
      <c r="S3" s="67" t="s">
        <v>33</v>
      </c>
      <c r="T3" s="67" t="s">
        <v>34</v>
      </c>
      <c r="U3" s="67" t="s">
        <v>84</v>
      </c>
      <c r="V3" s="67" t="s">
        <v>110</v>
      </c>
      <c r="W3" s="67" t="s">
        <v>81</v>
      </c>
      <c r="X3" s="67"/>
      <c r="Y3" s="69"/>
      <c r="Z3" s="67"/>
      <c r="AA3" s="69"/>
      <c r="AB3" s="72"/>
      <c r="AC3" s="72"/>
      <c r="AD3" s="72"/>
    </row>
    <row r="4" spans="1:258" s="73" customFormat="1" ht="29.25" customHeight="1" x14ac:dyDescent="0.5">
      <c r="A4" s="73">
        <v>1</v>
      </c>
      <c r="B4" s="74" t="s">
        <v>185</v>
      </c>
      <c r="C4" s="75" t="s">
        <v>21</v>
      </c>
      <c r="D4" s="76">
        <v>46054</v>
      </c>
      <c r="E4" s="77">
        <v>23</v>
      </c>
      <c r="F4" s="77">
        <v>24</v>
      </c>
      <c r="G4" s="75">
        <f>SUM(F4-E4)</f>
        <v>1</v>
      </c>
      <c r="H4" s="75">
        <v>150</v>
      </c>
      <c r="I4" s="74">
        <f>G4*H4</f>
        <v>150</v>
      </c>
      <c r="J4" s="75"/>
      <c r="K4" s="74">
        <f>I4+J4</f>
        <v>150</v>
      </c>
      <c r="L4" s="74">
        <v>0</v>
      </c>
      <c r="M4" s="74"/>
      <c r="N4" s="74">
        <v>7000</v>
      </c>
      <c r="O4" s="78"/>
      <c r="P4" s="74">
        <f>Q4-S4</f>
        <v>3120</v>
      </c>
      <c r="Q4" s="74">
        <v>10270</v>
      </c>
      <c r="R4" s="74">
        <f>'1A'!E27</f>
        <v>0</v>
      </c>
      <c r="S4" s="74">
        <f>K4+L4+M4+N4+O4+R4</f>
        <v>7150</v>
      </c>
      <c r="T4" s="74">
        <v>0</v>
      </c>
      <c r="U4" s="74">
        <f t="shared" ref="U4:U38" si="0">S4-T4</f>
        <v>7150</v>
      </c>
      <c r="V4" s="74"/>
      <c r="W4" s="75"/>
      <c r="X4" s="75">
        <v>1</v>
      </c>
      <c r="Y4" s="74"/>
      <c r="Z4" s="79"/>
      <c r="AA4" s="74"/>
      <c r="AB4" s="80"/>
      <c r="AC4" s="80"/>
      <c r="AD4" s="80"/>
    </row>
    <row r="5" spans="1:258" ht="29.25" customHeight="1" x14ac:dyDescent="0.5">
      <c r="A5">
        <f>A4+1</f>
        <v>2</v>
      </c>
      <c r="B5" s="120" t="s">
        <v>267</v>
      </c>
      <c r="C5" s="62" t="s">
        <v>27</v>
      </c>
      <c r="D5" s="76">
        <v>46054</v>
      </c>
      <c r="E5" s="77">
        <v>34</v>
      </c>
      <c r="F5" s="77">
        <v>37</v>
      </c>
      <c r="G5" s="62">
        <f>F5-E5</f>
        <v>3</v>
      </c>
      <c r="H5" s="75">
        <v>150</v>
      </c>
      <c r="I5" s="74">
        <f t="shared" ref="I5:I53" si="1">G5*H5</f>
        <v>450</v>
      </c>
      <c r="J5" s="75"/>
      <c r="K5" s="64">
        <f t="shared" ref="K5:K17" si="2">I5+J5</f>
        <v>450</v>
      </c>
      <c r="L5" s="74">
        <v>0</v>
      </c>
      <c r="M5" s="74"/>
      <c r="N5" s="64">
        <v>7000</v>
      </c>
      <c r="O5" s="78"/>
      <c r="P5" s="64">
        <f t="shared" ref="P5:P39" si="3">Q5-S5</f>
        <v>2854</v>
      </c>
      <c r="Q5" s="64">
        <v>10304</v>
      </c>
      <c r="R5" s="64">
        <f>'2A'!F28</f>
        <v>0</v>
      </c>
      <c r="S5" s="74">
        <f t="shared" ref="S5:S39" si="4">K5+L5+M5+N5+O5+R5</f>
        <v>7450</v>
      </c>
      <c r="T5" s="64">
        <v>0</v>
      </c>
      <c r="U5" s="64">
        <f t="shared" si="0"/>
        <v>7450</v>
      </c>
      <c r="V5" s="64"/>
      <c r="W5" s="62"/>
      <c r="X5" s="62">
        <v>2</v>
      </c>
      <c r="Y5" s="64"/>
      <c r="Z5" s="81"/>
      <c r="AA5" s="64"/>
      <c r="AB5" s="60"/>
      <c r="AC5" s="60"/>
      <c r="AD5" s="60"/>
    </row>
    <row r="6" spans="1:258" s="82" customFormat="1" ht="29.25" customHeight="1" x14ac:dyDescent="0.5">
      <c r="A6">
        <f t="shared" ref="A6:A53" si="5">A5+1</f>
        <v>3</v>
      </c>
      <c r="B6" s="83" t="s">
        <v>210</v>
      </c>
      <c r="C6" s="83" t="s">
        <v>26</v>
      </c>
      <c r="D6" s="76">
        <f>SUM(D5)</f>
        <v>46054</v>
      </c>
      <c r="E6" s="77">
        <v>14</v>
      </c>
      <c r="F6" s="77">
        <v>15</v>
      </c>
      <c r="G6" s="83">
        <f t="shared" ref="G6:G38" si="6">F6-E6</f>
        <v>1</v>
      </c>
      <c r="H6" s="75">
        <v>150</v>
      </c>
      <c r="I6" s="74">
        <f t="shared" si="1"/>
        <v>150</v>
      </c>
      <c r="J6" s="75"/>
      <c r="K6" s="84">
        <f t="shared" si="2"/>
        <v>150</v>
      </c>
      <c r="L6" s="74">
        <v>0</v>
      </c>
      <c r="M6" s="74"/>
      <c r="N6" s="84">
        <v>7000</v>
      </c>
      <c r="O6" s="78"/>
      <c r="P6" s="84">
        <f t="shared" si="3"/>
        <v>3838</v>
      </c>
      <c r="Q6" s="84">
        <v>10988</v>
      </c>
      <c r="R6" s="84">
        <f>'3A'!E28</f>
        <v>0</v>
      </c>
      <c r="S6" s="74">
        <f t="shared" si="4"/>
        <v>7150</v>
      </c>
      <c r="T6" s="84">
        <v>0</v>
      </c>
      <c r="U6" s="84">
        <f t="shared" si="0"/>
        <v>7150</v>
      </c>
      <c r="V6" s="84"/>
      <c r="W6" s="83"/>
      <c r="X6" s="83">
        <v>3</v>
      </c>
      <c r="Y6" s="84"/>
      <c r="Z6" s="85"/>
      <c r="AA6" s="84"/>
      <c r="AB6" s="86"/>
      <c r="AC6" s="86"/>
      <c r="AD6" s="86"/>
    </row>
    <row r="7" spans="1:258" ht="29.25" customHeight="1" x14ac:dyDescent="0.5">
      <c r="A7">
        <f t="shared" si="5"/>
        <v>4</v>
      </c>
      <c r="B7" s="62" t="s">
        <v>176</v>
      </c>
      <c r="C7" s="62" t="s">
        <v>16</v>
      </c>
      <c r="D7" s="76">
        <f>SUM(D5)</f>
        <v>46054</v>
      </c>
      <c r="E7" s="77">
        <v>10</v>
      </c>
      <c r="F7" s="77">
        <v>12</v>
      </c>
      <c r="G7" s="62">
        <f t="shared" si="6"/>
        <v>2</v>
      </c>
      <c r="H7" s="75">
        <v>150</v>
      </c>
      <c r="I7" s="74">
        <f t="shared" si="1"/>
        <v>300</v>
      </c>
      <c r="J7" s="75"/>
      <c r="K7" s="64">
        <f t="shared" si="2"/>
        <v>300</v>
      </c>
      <c r="L7" s="74">
        <v>0</v>
      </c>
      <c r="M7" s="74"/>
      <c r="N7" s="64">
        <v>7000</v>
      </c>
      <c r="O7" s="78">
        <v>451</v>
      </c>
      <c r="P7" s="64">
        <f t="shared" si="3"/>
        <v>3237.8199999999997</v>
      </c>
      <c r="Q7" s="64">
        <v>11070</v>
      </c>
      <c r="R7" s="64">
        <f>'4A'!E28</f>
        <v>81.179999999999993</v>
      </c>
      <c r="S7" s="74">
        <f t="shared" si="4"/>
        <v>7832.18</v>
      </c>
      <c r="T7" s="64">
        <v>0</v>
      </c>
      <c r="U7" s="64">
        <f t="shared" si="0"/>
        <v>7832.18</v>
      </c>
      <c r="V7" s="64"/>
      <c r="W7" s="62"/>
      <c r="X7" s="62">
        <v>4</v>
      </c>
      <c r="Y7" s="64"/>
      <c r="Z7" s="81"/>
      <c r="AA7" s="64"/>
      <c r="AB7" s="60"/>
      <c r="AC7" s="60"/>
      <c r="AD7" s="60"/>
    </row>
    <row r="8" spans="1:258" s="87" customFormat="1" ht="29.25" customHeight="1" x14ac:dyDescent="0.5">
      <c r="A8">
        <f t="shared" si="5"/>
        <v>5</v>
      </c>
      <c r="B8" s="62" t="s">
        <v>177</v>
      </c>
      <c r="C8" s="62" t="s">
        <v>28</v>
      </c>
      <c r="D8" s="76">
        <f t="shared" ref="D8:D53" si="7">SUM(D5)</f>
        <v>46054</v>
      </c>
      <c r="E8" s="77">
        <v>18</v>
      </c>
      <c r="F8" s="77">
        <v>21</v>
      </c>
      <c r="G8" s="62">
        <f>SUM(F8-E8)</f>
        <v>3</v>
      </c>
      <c r="H8" s="75">
        <v>150</v>
      </c>
      <c r="I8" s="74">
        <f t="shared" si="1"/>
        <v>450</v>
      </c>
      <c r="J8" s="75"/>
      <c r="K8" s="64">
        <f t="shared" si="2"/>
        <v>450</v>
      </c>
      <c r="L8" s="74">
        <v>0</v>
      </c>
      <c r="M8" s="74"/>
      <c r="N8" s="64">
        <v>7000</v>
      </c>
      <c r="O8" s="78">
        <v>451</v>
      </c>
      <c r="P8" s="64">
        <f t="shared" si="3"/>
        <v>-6785.18</v>
      </c>
      <c r="Q8" s="64">
        <v>1197</v>
      </c>
      <c r="R8" s="64">
        <f>'5A'!E28</f>
        <v>81.179999999999993</v>
      </c>
      <c r="S8" s="74">
        <f t="shared" si="4"/>
        <v>7982.18</v>
      </c>
      <c r="T8" s="64">
        <v>0</v>
      </c>
      <c r="U8" s="64">
        <f t="shared" si="0"/>
        <v>7982.18</v>
      </c>
      <c r="V8" s="64"/>
      <c r="W8" s="62"/>
      <c r="X8" s="62">
        <v>5</v>
      </c>
      <c r="Y8" s="64"/>
      <c r="Z8" s="81"/>
      <c r="AA8" s="62"/>
    </row>
    <row r="9" spans="1:258" ht="29.25" customHeight="1" x14ac:dyDescent="0.5">
      <c r="A9">
        <f t="shared" si="5"/>
        <v>6</v>
      </c>
      <c r="B9" s="62"/>
      <c r="C9" s="62" t="s">
        <v>120</v>
      </c>
      <c r="D9" s="76">
        <f t="shared" si="7"/>
        <v>46054</v>
      </c>
      <c r="E9" s="77">
        <v>11</v>
      </c>
      <c r="F9" s="77">
        <v>11</v>
      </c>
      <c r="G9" s="62">
        <f t="shared" si="6"/>
        <v>0</v>
      </c>
      <c r="H9" s="75">
        <v>150</v>
      </c>
      <c r="I9" s="74">
        <f t="shared" si="1"/>
        <v>0</v>
      </c>
      <c r="J9" s="75"/>
      <c r="K9" s="64">
        <f t="shared" si="2"/>
        <v>0</v>
      </c>
      <c r="L9" s="74">
        <v>0</v>
      </c>
      <c r="M9" s="74"/>
      <c r="N9" s="64">
        <v>6000</v>
      </c>
      <c r="O9" s="78">
        <v>580</v>
      </c>
      <c r="P9" s="64">
        <f t="shared" si="3"/>
        <v>2670</v>
      </c>
      <c r="Q9" s="64">
        <v>9250</v>
      </c>
      <c r="R9" s="64">
        <f>'6A'!E28</f>
        <v>0</v>
      </c>
      <c r="S9" s="74">
        <f t="shared" si="4"/>
        <v>6580</v>
      </c>
      <c r="T9" s="64">
        <v>0</v>
      </c>
      <c r="U9" s="64">
        <f t="shared" si="0"/>
        <v>6580</v>
      </c>
      <c r="V9" s="64"/>
      <c r="W9" s="62"/>
      <c r="X9" s="62">
        <v>6</v>
      </c>
      <c r="Y9" s="64"/>
      <c r="Z9" s="81"/>
      <c r="AA9" s="69"/>
      <c r="AB9" s="72"/>
      <c r="AC9" s="72"/>
      <c r="AD9" s="72"/>
      <c r="AE9" s="88"/>
      <c r="AF9" s="88"/>
    </row>
    <row r="10" spans="1:258" ht="29.25" customHeight="1" x14ac:dyDescent="0.5">
      <c r="A10">
        <f t="shared" si="5"/>
        <v>7</v>
      </c>
      <c r="B10" s="62" t="s">
        <v>166</v>
      </c>
      <c r="C10" s="62" t="s">
        <v>121</v>
      </c>
      <c r="D10" s="76">
        <f t="shared" si="7"/>
        <v>46054</v>
      </c>
      <c r="E10" s="77">
        <v>9</v>
      </c>
      <c r="F10" s="77">
        <v>10</v>
      </c>
      <c r="G10" s="62">
        <f t="shared" si="6"/>
        <v>1</v>
      </c>
      <c r="H10" s="75">
        <v>150</v>
      </c>
      <c r="I10" s="74">
        <f>G10*H10</f>
        <v>150</v>
      </c>
      <c r="J10" s="75"/>
      <c r="K10" s="64">
        <f t="shared" si="2"/>
        <v>150</v>
      </c>
      <c r="L10" s="74">
        <v>0</v>
      </c>
      <c r="M10" s="74"/>
      <c r="N10" s="64">
        <v>7000</v>
      </c>
      <c r="O10" s="78"/>
      <c r="P10" s="64">
        <f t="shared" si="3"/>
        <v>1620</v>
      </c>
      <c r="Q10" s="64">
        <v>8770</v>
      </c>
      <c r="R10" s="64">
        <f>'1B'!E28</f>
        <v>0</v>
      </c>
      <c r="S10" s="74">
        <f t="shared" si="4"/>
        <v>7150</v>
      </c>
      <c r="T10" s="64">
        <v>0</v>
      </c>
      <c r="U10" s="64">
        <f t="shared" si="0"/>
        <v>7150</v>
      </c>
      <c r="V10" s="64"/>
      <c r="W10" s="62"/>
      <c r="X10" s="62">
        <v>7</v>
      </c>
      <c r="Y10" s="64"/>
      <c r="Z10" s="81"/>
      <c r="AA10" s="62"/>
    </row>
    <row r="11" spans="1:258" ht="29.25" customHeight="1" x14ac:dyDescent="0.5">
      <c r="A11">
        <f t="shared" si="5"/>
        <v>8</v>
      </c>
      <c r="B11" s="62"/>
      <c r="C11" s="62" t="s">
        <v>122</v>
      </c>
      <c r="D11" s="76">
        <f t="shared" si="7"/>
        <v>46054</v>
      </c>
      <c r="E11" s="77">
        <v>13</v>
      </c>
      <c r="F11" s="77">
        <v>15</v>
      </c>
      <c r="G11" s="62">
        <f t="shared" si="6"/>
        <v>2</v>
      </c>
      <c r="H11" s="75">
        <v>150</v>
      </c>
      <c r="I11" s="74">
        <f t="shared" si="1"/>
        <v>300</v>
      </c>
      <c r="J11" s="75"/>
      <c r="K11" s="64">
        <f t="shared" si="2"/>
        <v>300</v>
      </c>
      <c r="L11" s="74">
        <v>0</v>
      </c>
      <c r="M11" s="74"/>
      <c r="N11" s="64">
        <v>7000</v>
      </c>
      <c r="O11" s="78"/>
      <c r="P11" s="64">
        <f t="shared" si="3"/>
        <v>15890</v>
      </c>
      <c r="Q11" s="64">
        <v>23190</v>
      </c>
      <c r="R11" s="64">
        <f>'2B'!E28</f>
        <v>0</v>
      </c>
      <c r="S11" s="74">
        <f t="shared" si="4"/>
        <v>7300</v>
      </c>
      <c r="T11" s="64">
        <v>0</v>
      </c>
      <c r="U11" s="64">
        <f t="shared" si="0"/>
        <v>7300</v>
      </c>
      <c r="V11" s="64"/>
      <c r="W11" s="62"/>
      <c r="X11" s="62">
        <v>8</v>
      </c>
      <c r="Y11" s="64"/>
      <c r="Z11" s="81"/>
      <c r="AA11" s="62"/>
    </row>
    <row r="12" spans="1:258" ht="29.25" customHeight="1" x14ac:dyDescent="0.5">
      <c r="A12">
        <f t="shared" si="5"/>
        <v>9</v>
      </c>
      <c r="B12" s="62" t="s">
        <v>191</v>
      </c>
      <c r="C12" s="62" t="s">
        <v>123</v>
      </c>
      <c r="D12" s="76">
        <f t="shared" si="7"/>
        <v>46054</v>
      </c>
      <c r="E12" s="77">
        <v>10</v>
      </c>
      <c r="F12" s="77">
        <v>15</v>
      </c>
      <c r="G12" s="62">
        <f t="shared" si="6"/>
        <v>5</v>
      </c>
      <c r="H12" s="75">
        <v>150</v>
      </c>
      <c r="I12" s="74">
        <f t="shared" si="1"/>
        <v>750</v>
      </c>
      <c r="J12" s="75"/>
      <c r="K12" s="64">
        <f t="shared" si="2"/>
        <v>750</v>
      </c>
      <c r="L12" s="74">
        <v>0</v>
      </c>
      <c r="M12" s="74"/>
      <c r="N12" s="64">
        <v>7000</v>
      </c>
      <c r="O12" s="78"/>
      <c r="P12" s="64">
        <f t="shared" si="3"/>
        <v>3160</v>
      </c>
      <c r="Q12" s="64">
        <v>10910</v>
      </c>
      <c r="R12" s="64">
        <f>'3B'!E28</f>
        <v>0</v>
      </c>
      <c r="S12" s="74">
        <f t="shared" si="4"/>
        <v>7750</v>
      </c>
      <c r="T12" s="64">
        <v>0</v>
      </c>
      <c r="U12" s="64">
        <f t="shared" si="0"/>
        <v>7750</v>
      </c>
      <c r="V12" s="64"/>
      <c r="W12" s="62"/>
      <c r="X12" s="62">
        <v>9</v>
      </c>
      <c r="Y12" s="64"/>
      <c r="Z12" s="81"/>
      <c r="AA12" s="62"/>
    </row>
    <row r="13" spans="1:258" s="73" customFormat="1" ht="29.25" customHeight="1" x14ac:dyDescent="0.5">
      <c r="A13">
        <f t="shared" si="5"/>
        <v>10</v>
      </c>
      <c r="B13" s="75"/>
      <c r="C13" s="75" t="s">
        <v>124</v>
      </c>
      <c r="D13" s="76">
        <f t="shared" si="7"/>
        <v>46054</v>
      </c>
      <c r="E13" s="77">
        <v>16</v>
      </c>
      <c r="F13" s="77">
        <v>17</v>
      </c>
      <c r="G13" s="75">
        <f t="shared" si="6"/>
        <v>1</v>
      </c>
      <c r="H13" s="75">
        <v>150</v>
      </c>
      <c r="I13" s="74">
        <f t="shared" si="1"/>
        <v>150</v>
      </c>
      <c r="J13" s="75"/>
      <c r="K13" s="74">
        <f t="shared" si="2"/>
        <v>150</v>
      </c>
      <c r="L13" s="74">
        <v>0</v>
      </c>
      <c r="M13" s="74"/>
      <c r="N13" s="64">
        <v>7000</v>
      </c>
      <c r="O13" s="78"/>
      <c r="P13" s="74">
        <f t="shared" si="3"/>
        <v>3760</v>
      </c>
      <c r="Q13" s="74">
        <v>10910</v>
      </c>
      <c r="R13" s="74">
        <f>'4B'!E28</f>
        <v>0</v>
      </c>
      <c r="S13" s="74">
        <f t="shared" si="4"/>
        <v>7150</v>
      </c>
      <c r="T13" s="74">
        <v>0</v>
      </c>
      <c r="U13" s="74">
        <f t="shared" si="0"/>
        <v>7150</v>
      </c>
      <c r="V13" s="74"/>
      <c r="W13" s="75"/>
      <c r="X13" s="75">
        <v>10</v>
      </c>
      <c r="Y13" s="74">
        <v>0</v>
      </c>
      <c r="Z13" s="79"/>
      <c r="AA13" s="75"/>
    </row>
    <row r="14" spans="1:258" s="89" customFormat="1" ht="29.25" customHeight="1" x14ac:dyDescent="0.5">
      <c r="A14">
        <f t="shared" si="5"/>
        <v>11</v>
      </c>
      <c r="B14" s="75"/>
      <c r="C14" s="75" t="s">
        <v>125</v>
      </c>
      <c r="D14" s="76">
        <f t="shared" si="7"/>
        <v>46054</v>
      </c>
      <c r="E14" s="77">
        <v>1</v>
      </c>
      <c r="F14" s="77">
        <v>1</v>
      </c>
      <c r="G14" s="75">
        <f t="shared" si="6"/>
        <v>0</v>
      </c>
      <c r="H14" s="75">
        <v>150</v>
      </c>
      <c r="I14" s="74">
        <f t="shared" si="1"/>
        <v>0</v>
      </c>
      <c r="J14" s="75"/>
      <c r="K14" s="74">
        <f t="shared" si="2"/>
        <v>0</v>
      </c>
      <c r="L14" s="74">
        <v>0</v>
      </c>
      <c r="M14" s="74"/>
      <c r="N14" s="64">
        <v>7000</v>
      </c>
      <c r="O14" s="78">
        <v>451</v>
      </c>
      <c r="P14" s="74">
        <f t="shared" si="3"/>
        <v>4720.96</v>
      </c>
      <c r="Q14" s="74">
        <v>12190</v>
      </c>
      <c r="R14" s="74">
        <f>'5B'!E28</f>
        <v>18.04</v>
      </c>
      <c r="S14" s="74">
        <f t="shared" si="4"/>
        <v>7469.04</v>
      </c>
      <c r="T14" s="74">
        <v>0</v>
      </c>
      <c r="U14" s="74">
        <f t="shared" si="0"/>
        <v>7469.04</v>
      </c>
      <c r="V14" s="74"/>
      <c r="W14" s="75"/>
      <c r="X14" s="75">
        <v>11</v>
      </c>
      <c r="Y14" s="74"/>
      <c r="Z14" s="79"/>
      <c r="AA14" s="75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  <c r="IW14" s="73"/>
      <c r="IX14" s="73"/>
    </row>
    <row r="15" spans="1:258" s="58" customFormat="1" ht="29.25" customHeight="1" x14ac:dyDescent="0.5">
      <c r="A15">
        <f t="shared" si="5"/>
        <v>12</v>
      </c>
      <c r="B15" s="120" t="s">
        <v>189</v>
      </c>
      <c r="C15" s="62" t="s">
        <v>20</v>
      </c>
      <c r="D15" s="76">
        <f t="shared" si="7"/>
        <v>46054</v>
      </c>
      <c r="E15" s="77">
        <v>23</v>
      </c>
      <c r="F15" s="77">
        <v>27</v>
      </c>
      <c r="G15" s="62">
        <f t="shared" si="6"/>
        <v>4</v>
      </c>
      <c r="H15" s="75">
        <v>150</v>
      </c>
      <c r="I15" s="74">
        <f t="shared" si="1"/>
        <v>600</v>
      </c>
      <c r="J15" s="75"/>
      <c r="K15" s="64">
        <f t="shared" si="2"/>
        <v>600</v>
      </c>
      <c r="L15" s="74">
        <v>0</v>
      </c>
      <c r="M15" s="74"/>
      <c r="N15" s="64">
        <v>8000</v>
      </c>
      <c r="O15" s="78"/>
      <c r="P15" s="64">
        <f t="shared" si="3"/>
        <v>2470</v>
      </c>
      <c r="Q15" s="64">
        <v>11070</v>
      </c>
      <c r="R15" s="64">
        <f>'6B'!F28</f>
        <v>0</v>
      </c>
      <c r="S15" s="74">
        <f t="shared" si="4"/>
        <v>8600</v>
      </c>
      <c r="T15" s="64">
        <v>0</v>
      </c>
      <c r="U15" s="64">
        <f t="shared" si="0"/>
        <v>8600</v>
      </c>
      <c r="V15" s="64"/>
      <c r="W15" s="62"/>
      <c r="X15" s="62">
        <v>12</v>
      </c>
      <c r="Y15" s="64">
        <v>0</v>
      </c>
      <c r="Z15" s="81">
        <f>O15-Y15</f>
        <v>0</v>
      </c>
      <c r="AA15" s="62"/>
    </row>
    <row r="16" spans="1:258" s="61" customFormat="1" ht="29.25" customHeight="1" x14ac:dyDescent="0.5">
      <c r="A16">
        <f t="shared" si="5"/>
        <v>13</v>
      </c>
      <c r="B16" s="62" t="s">
        <v>192</v>
      </c>
      <c r="C16" s="62" t="s">
        <v>126</v>
      </c>
      <c r="D16" s="76">
        <f t="shared" si="7"/>
        <v>46054</v>
      </c>
      <c r="E16" s="77">
        <v>13</v>
      </c>
      <c r="F16" s="77">
        <v>13</v>
      </c>
      <c r="G16" s="62">
        <f t="shared" si="6"/>
        <v>0</v>
      </c>
      <c r="H16" s="75">
        <v>150</v>
      </c>
      <c r="I16" s="74">
        <f t="shared" si="1"/>
        <v>0</v>
      </c>
      <c r="J16" s="75"/>
      <c r="K16" s="64">
        <f t="shared" si="2"/>
        <v>0</v>
      </c>
      <c r="L16" s="74">
        <v>0</v>
      </c>
      <c r="M16" s="74"/>
      <c r="N16" s="64">
        <v>8000</v>
      </c>
      <c r="O16" s="78"/>
      <c r="P16" s="64">
        <f t="shared" si="3"/>
        <v>1090</v>
      </c>
      <c r="Q16" s="64">
        <v>9090</v>
      </c>
      <c r="R16" s="64">
        <f>'1C'!F28</f>
        <v>0</v>
      </c>
      <c r="S16" s="74">
        <f t="shared" si="4"/>
        <v>8000</v>
      </c>
      <c r="T16" s="64">
        <v>0</v>
      </c>
      <c r="U16" s="64">
        <f t="shared" si="0"/>
        <v>8000</v>
      </c>
      <c r="V16" s="64"/>
      <c r="W16" s="62"/>
      <c r="X16" s="62">
        <v>13</v>
      </c>
      <c r="Y16" s="64">
        <v>0</v>
      </c>
      <c r="Z16" s="81">
        <f>O16-Y16</f>
        <v>0</v>
      </c>
      <c r="AA16" s="62"/>
    </row>
    <row r="17" spans="1:258" s="90" customFormat="1" ht="29.25" customHeight="1" x14ac:dyDescent="0.5">
      <c r="A17">
        <f t="shared" si="5"/>
        <v>14</v>
      </c>
      <c r="B17" s="120"/>
      <c r="C17" s="62" t="s">
        <v>127</v>
      </c>
      <c r="D17" s="76">
        <f t="shared" si="7"/>
        <v>46054</v>
      </c>
      <c r="E17" s="77">
        <v>45</v>
      </c>
      <c r="F17" s="77">
        <v>45</v>
      </c>
      <c r="G17" s="62">
        <f t="shared" si="6"/>
        <v>0</v>
      </c>
      <c r="H17" s="75">
        <v>150</v>
      </c>
      <c r="I17" s="74">
        <f t="shared" si="1"/>
        <v>0</v>
      </c>
      <c r="J17" s="75"/>
      <c r="K17" s="64">
        <f t="shared" si="2"/>
        <v>0</v>
      </c>
      <c r="L17" s="74">
        <v>0</v>
      </c>
      <c r="M17" s="74"/>
      <c r="N17" s="64">
        <v>8000</v>
      </c>
      <c r="O17" s="78">
        <v>516</v>
      </c>
      <c r="P17" s="64">
        <f t="shared" si="3"/>
        <v>883.36000000000058</v>
      </c>
      <c r="Q17" s="64">
        <v>9420</v>
      </c>
      <c r="R17" s="64">
        <f>'2C'!F28</f>
        <v>20.64</v>
      </c>
      <c r="S17" s="74">
        <f t="shared" si="4"/>
        <v>8536.64</v>
      </c>
      <c r="T17" s="64">
        <v>0</v>
      </c>
      <c r="U17" s="64">
        <f t="shared" si="0"/>
        <v>8536.64</v>
      </c>
      <c r="V17" s="64"/>
      <c r="W17" s="62"/>
      <c r="X17" s="62">
        <v>14</v>
      </c>
      <c r="Y17" s="64">
        <v>0</v>
      </c>
      <c r="Z17" s="81">
        <f>O17-Y17</f>
        <v>516</v>
      </c>
      <c r="AA17" s="62"/>
    </row>
    <row r="18" spans="1:258" s="91" customFormat="1" ht="29.25" customHeight="1" x14ac:dyDescent="0.5">
      <c r="A18">
        <f t="shared" si="5"/>
        <v>15</v>
      </c>
      <c r="B18" s="121" t="s">
        <v>165</v>
      </c>
      <c r="C18" s="83" t="s">
        <v>128</v>
      </c>
      <c r="D18" s="76">
        <f t="shared" si="7"/>
        <v>46054</v>
      </c>
      <c r="E18" s="77">
        <v>52</v>
      </c>
      <c r="F18" s="77">
        <v>52</v>
      </c>
      <c r="G18" s="62">
        <f t="shared" si="6"/>
        <v>0</v>
      </c>
      <c r="H18" s="75">
        <v>150</v>
      </c>
      <c r="I18" s="74">
        <f t="shared" si="1"/>
        <v>0</v>
      </c>
      <c r="J18" s="75"/>
      <c r="K18" s="84">
        <f>I18+J18</f>
        <v>0</v>
      </c>
      <c r="L18" s="74">
        <v>0</v>
      </c>
      <c r="M18" s="74"/>
      <c r="N18" s="64">
        <v>10000</v>
      </c>
      <c r="O18" s="78"/>
      <c r="P18" s="84">
        <f t="shared" si="3"/>
        <v>1154</v>
      </c>
      <c r="Q18" s="84">
        <v>11154</v>
      </c>
      <c r="R18" s="84">
        <f>'3C'!F28</f>
        <v>0</v>
      </c>
      <c r="S18" s="74">
        <f t="shared" si="4"/>
        <v>10000</v>
      </c>
      <c r="T18" s="84">
        <v>0</v>
      </c>
      <c r="U18" s="84">
        <f>S18-T18</f>
        <v>10000</v>
      </c>
      <c r="V18" s="84"/>
      <c r="W18" s="83"/>
      <c r="X18" s="83">
        <v>15</v>
      </c>
      <c r="Y18" s="84">
        <v>0</v>
      </c>
      <c r="Z18" s="85"/>
      <c r="AA18" s="83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82"/>
      <c r="DH18" s="82"/>
      <c r="DI18" s="82"/>
      <c r="DJ18" s="82"/>
      <c r="DK18" s="82"/>
      <c r="DL18" s="82"/>
      <c r="DM18" s="82"/>
      <c r="DN18" s="82"/>
      <c r="DO18" s="82"/>
      <c r="DP18" s="82"/>
      <c r="DQ18" s="82"/>
      <c r="DR18" s="82"/>
      <c r="DS18" s="82"/>
      <c r="DT18" s="82"/>
      <c r="DU18" s="82"/>
      <c r="DV18" s="82"/>
      <c r="DW18" s="82"/>
      <c r="DX18" s="82"/>
      <c r="DY18" s="82"/>
      <c r="DZ18" s="82"/>
      <c r="EA18" s="82"/>
      <c r="EB18" s="82"/>
      <c r="EC18" s="82"/>
      <c r="ED18" s="82"/>
      <c r="EE18" s="82"/>
      <c r="EF18" s="82"/>
      <c r="EG18" s="82"/>
      <c r="EH18" s="82"/>
      <c r="EI18" s="82"/>
      <c r="EJ18" s="82"/>
      <c r="EK18" s="82"/>
      <c r="EL18" s="82"/>
      <c r="EM18" s="82"/>
      <c r="EN18" s="82"/>
      <c r="EO18" s="82"/>
      <c r="EP18" s="82"/>
      <c r="EQ18" s="82"/>
      <c r="ER18" s="82"/>
      <c r="ES18" s="82"/>
      <c r="ET18" s="82"/>
      <c r="EU18" s="82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F18" s="82"/>
      <c r="FG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82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  <c r="GG18" s="82"/>
      <c r="GH18" s="82"/>
      <c r="GI18" s="82"/>
      <c r="GJ18" s="82"/>
      <c r="GK18" s="82"/>
      <c r="GL18" s="82"/>
      <c r="GM18" s="82"/>
      <c r="GN18" s="82"/>
      <c r="GO18" s="82"/>
      <c r="GP18" s="82"/>
      <c r="GQ18" s="82"/>
      <c r="GR18" s="82"/>
      <c r="GS18" s="82"/>
      <c r="GT18" s="82"/>
      <c r="GU18" s="82"/>
      <c r="GV18" s="82"/>
      <c r="GW18" s="82"/>
      <c r="GX18" s="82"/>
      <c r="GY18" s="82"/>
      <c r="GZ18" s="82"/>
      <c r="HA18" s="82"/>
      <c r="HB18" s="82"/>
      <c r="HC18" s="82"/>
      <c r="HD18" s="82"/>
      <c r="HE18" s="82"/>
      <c r="HF18" s="82"/>
      <c r="HG18" s="82"/>
      <c r="HH18" s="82"/>
      <c r="HI18" s="82"/>
      <c r="HJ18" s="82"/>
      <c r="HK18" s="82"/>
      <c r="HL18" s="82"/>
      <c r="HM18" s="82"/>
      <c r="HN18" s="82"/>
      <c r="HO18" s="82"/>
      <c r="HP18" s="82"/>
      <c r="HQ18" s="82"/>
      <c r="HR18" s="82"/>
      <c r="HS18" s="82"/>
      <c r="HT18" s="82"/>
      <c r="HU18" s="82"/>
      <c r="HV18" s="82"/>
      <c r="HW18" s="82"/>
      <c r="HX18" s="82"/>
      <c r="HY18" s="82"/>
      <c r="HZ18" s="82"/>
      <c r="IA18" s="82"/>
      <c r="IB18" s="82"/>
      <c r="IC18" s="82"/>
      <c r="ID18" s="82"/>
      <c r="IE18" s="82"/>
      <c r="IF18" s="82"/>
      <c r="IG18" s="82"/>
      <c r="IH18" s="82"/>
      <c r="II18" s="82"/>
      <c r="IJ18" s="82"/>
      <c r="IK18" s="82"/>
      <c r="IL18" s="82"/>
      <c r="IM18" s="82"/>
      <c r="IN18" s="82"/>
      <c r="IO18" s="82"/>
      <c r="IP18" s="82"/>
      <c r="IQ18" s="82"/>
      <c r="IR18" s="82"/>
      <c r="IS18" s="82"/>
      <c r="IT18" s="82"/>
      <c r="IU18" s="82"/>
      <c r="IV18" s="82"/>
      <c r="IW18" s="82"/>
      <c r="IX18" s="82"/>
    </row>
    <row r="19" spans="1:258" ht="29.25" customHeight="1" x14ac:dyDescent="0.5">
      <c r="A19">
        <f t="shared" si="5"/>
        <v>16</v>
      </c>
      <c r="B19" s="120" t="s">
        <v>178</v>
      </c>
      <c r="C19" s="62" t="s">
        <v>129</v>
      </c>
      <c r="D19" s="76">
        <f t="shared" si="7"/>
        <v>46054</v>
      </c>
      <c r="E19" s="77">
        <v>11</v>
      </c>
      <c r="F19" s="77">
        <v>12</v>
      </c>
      <c r="G19" s="62">
        <f t="shared" si="6"/>
        <v>1</v>
      </c>
      <c r="H19" s="75">
        <v>150</v>
      </c>
      <c r="I19" s="74">
        <f t="shared" si="1"/>
        <v>150</v>
      </c>
      <c r="J19" s="75"/>
      <c r="K19" s="64">
        <f t="shared" ref="K19:K31" si="8">I19+J19</f>
        <v>150</v>
      </c>
      <c r="L19" s="74">
        <v>0</v>
      </c>
      <c r="M19" s="74"/>
      <c r="N19" s="64">
        <v>8000</v>
      </c>
      <c r="O19" s="78">
        <v>516</v>
      </c>
      <c r="P19" s="64">
        <f t="shared" si="3"/>
        <v>1743.3600000000006</v>
      </c>
      <c r="Q19" s="64">
        <v>10430</v>
      </c>
      <c r="R19" s="64">
        <f>'4C'!F28</f>
        <v>20.64</v>
      </c>
      <c r="S19" s="74">
        <f t="shared" si="4"/>
        <v>8686.64</v>
      </c>
      <c r="T19" s="64">
        <v>0</v>
      </c>
      <c r="U19" s="64">
        <f t="shared" si="0"/>
        <v>8686.64</v>
      </c>
      <c r="V19" s="64"/>
      <c r="W19" s="62"/>
      <c r="X19" s="62">
        <v>16</v>
      </c>
      <c r="Y19" s="64"/>
      <c r="Z19" s="81">
        <f>O19-Y19</f>
        <v>516</v>
      </c>
      <c r="AA19" s="62"/>
    </row>
    <row r="20" spans="1:258" ht="29.25" customHeight="1" x14ac:dyDescent="0.5">
      <c r="A20">
        <f t="shared" si="5"/>
        <v>17</v>
      </c>
      <c r="B20" s="120"/>
      <c r="C20" s="62" t="s">
        <v>130</v>
      </c>
      <c r="D20" s="76">
        <f t="shared" si="7"/>
        <v>46054</v>
      </c>
      <c r="E20" s="77">
        <v>12</v>
      </c>
      <c r="F20" s="77">
        <v>12</v>
      </c>
      <c r="G20" s="62">
        <f t="shared" si="6"/>
        <v>0</v>
      </c>
      <c r="H20" s="75">
        <v>150</v>
      </c>
      <c r="I20" s="74">
        <f t="shared" si="1"/>
        <v>0</v>
      </c>
      <c r="J20" s="75"/>
      <c r="K20" s="64">
        <f t="shared" si="8"/>
        <v>0</v>
      </c>
      <c r="L20" s="74">
        <v>0</v>
      </c>
      <c r="M20" s="74"/>
      <c r="N20" s="64">
        <v>8000</v>
      </c>
      <c r="O20" s="78"/>
      <c r="P20" s="64">
        <f t="shared" si="3"/>
        <v>3831</v>
      </c>
      <c r="Q20" s="64">
        <v>11831</v>
      </c>
      <c r="R20" s="64">
        <f>'5C'!F28</f>
        <v>0</v>
      </c>
      <c r="S20" s="74">
        <f t="shared" si="4"/>
        <v>8000</v>
      </c>
      <c r="T20" s="64">
        <v>0</v>
      </c>
      <c r="U20" s="64">
        <f t="shared" si="0"/>
        <v>8000</v>
      </c>
      <c r="V20" s="64"/>
      <c r="W20" s="62"/>
      <c r="X20" s="62">
        <v>17</v>
      </c>
      <c r="Y20" s="64"/>
      <c r="Z20" s="81">
        <f>O20-Y20</f>
        <v>0</v>
      </c>
      <c r="AA20" s="62"/>
    </row>
    <row r="21" spans="1:258" ht="29.25" customHeight="1" x14ac:dyDescent="0.5">
      <c r="A21">
        <f t="shared" si="5"/>
        <v>18</v>
      </c>
      <c r="B21" s="120" t="s">
        <v>211</v>
      </c>
      <c r="C21" s="62" t="s">
        <v>131</v>
      </c>
      <c r="D21" s="76">
        <f t="shared" si="7"/>
        <v>46054</v>
      </c>
      <c r="E21" s="77">
        <v>17</v>
      </c>
      <c r="F21" s="77">
        <v>20</v>
      </c>
      <c r="G21" s="62">
        <f t="shared" si="6"/>
        <v>3</v>
      </c>
      <c r="H21" s="75">
        <v>150</v>
      </c>
      <c r="I21" s="74">
        <f t="shared" si="1"/>
        <v>450</v>
      </c>
      <c r="J21" s="75"/>
      <c r="K21" s="64">
        <f t="shared" si="8"/>
        <v>450</v>
      </c>
      <c r="L21" s="74">
        <v>0</v>
      </c>
      <c r="M21" s="74"/>
      <c r="N21" s="64">
        <v>10000</v>
      </c>
      <c r="O21" s="78"/>
      <c r="P21" s="64">
        <f t="shared" si="3"/>
        <v>140</v>
      </c>
      <c r="Q21" s="64">
        <v>10590</v>
      </c>
      <c r="R21" s="64">
        <f>'6C'!F28</f>
        <v>0</v>
      </c>
      <c r="S21" s="74">
        <f t="shared" si="4"/>
        <v>10450</v>
      </c>
      <c r="T21" s="64">
        <v>0</v>
      </c>
      <c r="U21" s="64">
        <f t="shared" si="0"/>
        <v>10450</v>
      </c>
      <c r="V21" s="64"/>
      <c r="W21" s="62"/>
      <c r="X21" s="62">
        <v>18</v>
      </c>
      <c r="Y21" s="64"/>
      <c r="Z21" s="81">
        <f>O21-Y21</f>
        <v>0</v>
      </c>
      <c r="AA21" s="81"/>
      <c r="AB21" s="90"/>
    </row>
    <row r="22" spans="1:258" ht="29.25" customHeight="1" x14ac:dyDescent="0.5">
      <c r="A22">
        <f t="shared" si="5"/>
        <v>19</v>
      </c>
      <c r="B22" s="120" t="s">
        <v>193</v>
      </c>
      <c r="C22" s="62" t="s">
        <v>132</v>
      </c>
      <c r="D22" s="76">
        <f t="shared" si="7"/>
        <v>46054</v>
      </c>
      <c r="E22" s="77">
        <v>12</v>
      </c>
      <c r="F22" s="77">
        <v>15</v>
      </c>
      <c r="G22" s="62">
        <f t="shared" si="6"/>
        <v>3</v>
      </c>
      <c r="H22" s="75">
        <v>150</v>
      </c>
      <c r="I22" s="74">
        <f t="shared" si="1"/>
        <v>450</v>
      </c>
      <c r="J22" s="75"/>
      <c r="K22" s="64">
        <f t="shared" si="8"/>
        <v>450</v>
      </c>
      <c r="L22" s="74">
        <v>0</v>
      </c>
      <c r="M22" s="74"/>
      <c r="N22" s="64">
        <v>8000</v>
      </c>
      <c r="O22" s="78"/>
      <c r="P22" s="64">
        <f t="shared" si="3"/>
        <v>13973</v>
      </c>
      <c r="Q22" s="64">
        <v>22423</v>
      </c>
      <c r="R22" s="64">
        <f>'1D'!F28</f>
        <v>0</v>
      </c>
      <c r="S22" s="74">
        <f t="shared" si="4"/>
        <v>8450</v>
      </c>
      <c r="T22" s="64">
        <v>0</v>
      </c>
      <c r="U22" s="64">
        <f t="shared" si="0"/>
        <v>8450</v>
      </c>
      <c r="V22" s="64"/>
      <c r="W22" s="62"/>
      <c r="X22" s="62">
        <v>19</v>
      </c>
      <c r="Y22" s="64"/>
      <c r="Z22" s="81">
        <f>O22-Y22</f>
        <v>0</v>
      </c>
      <c r="AA22" s="62"/>
    </row>
    <row r="23" spans="1:258" ht="29.25" customHeight="1" x14ac:dyDescent="0.5">
      <c r="A23">
        <f t="shared" si="5"/>
        <v>20</v>
      </c>
      <c r="B23" s="62" t="s">
        <v>190</v>
      </c>
      <c r="C23" s="62" t="s">
        <v>133</v>
      </c>
      <c r="D23" s="76">
        <f t="shared" si="7"/>
        <v>46054</v>
      </c>
      <c r="E23" s="77">
        <v>21</v>
      </c>
      <c r="F23" s="77">
        <v>28</v>
      </c>
      <c r="G23" s="62">
        <f t="shared" si="6"/>
        <v>7</v>
      </c>
      <c r="H23" s="75">
        <v>150</v>
      </c>
      <c r="I23" s="74">
        <f t="shared" si="1"/>
        <v>1050</v>
      </c>
      <c r="J23" s="75"/>
      <c r="K23" s="64">
        <f t="shared" si="8"/>
        <v>1050</v>
      </c>
      <c r="L23" s="74">
        <v>0</v>
      </c>
      <c r="M23" s="74"/>
      <c r="N23" s="64">
        <v>8000</v>
      </c>
      <c r="O23" s="78"/>
      <c r="P23" s="64">
        <f t="shared" si="3"/>
        <v>200</v>
      </c>
      <c r="Q23" s="64">
        <v>9250</v>
      </c>
      <c r="R23" s="64">
        <f>'2D'!F28</f>
        <v>0</v>
      </c>
      <c r="S23" s="74">
        <f t="shared" si="4"/>
        <v>9050</v>
      </c>
      <c r="T23" s="64">
        <v>0</v>
      </c>
      <c r="U23" s="64">
        <f t="shared" si="0"/>
        <v>9050</v>
      </c>
      <c r="V23" s="64"/>
      <c r="W23" s="62"/>
      <c r="X23" s="62">
        <v>20</v>
      </c>
      <c r="Y23" s="64">
        <v>0</v>
      </c>
      <c r="Z23" s="81">
        <f>O23-Y23</f>
        <v>0</v>
      </c>
      <c r="AA23" s="62"/>
    </row>
    <row r="24" spans="1:258" ht="29.25" customHeight="1" x14ac:dyDescent="0.5">
      <c r="A24">
        <f t="shared" si="5"/>
        <v>21</v>
      </c>
      <c r="B24" s="120" t="s">
        <v>194</v>
      </c>
      <c r="C24" s="62" t="s">
        <v>134</v>
      </c>
      <c r="D24" s="76">
        <f t="shared" si="7"/>
        <v>46054</v>
      </c>
      <c r="E24" s="77">
        <v>23</v>
      </c>
      <c r="F24" s="77">
        <v>25</v>
      </c>
      <c r="G24" s="62">
        <f t="shared" si="6"/>
        <v>2</v>
      </c>
      <c r="H24" s="75">
        <v>150</v>
      </c>
      <c r="I24" s="74">
        <f t="shared" si="1"/>
        <v>300</v>
      </c>
      <c r="J24" s="75"/>
      <c r="K24" s="64">
        <f t="shared" si="8"/>
        <v>300</v>
      </c>
      <c r="L24" s="74">
        <v>0</v>
      </c>
      <c r="M24" s="74"/>
      <c r="N24" s="64">
        <v>8000</v>
      </c>
      <c r="O24" s="78"/>
      <c r="P24" s="64">
        <f t="shared" si="3"/>
        <v>1862</v>
      </c>
      <c r="Q24" s="64">
        <v>10162</v>
      </c>
      <c r="R24" s="64">
        <f>'3D'!F28</f>
        <v>0</v>
      </c>
      <c r="S24" s="74">
        <f t="shared" si="4"/>
        <v>8300</v>
      </c>
      <c r="T24" s="64">
        <v>0</v>
      </c>
      <c r="U24" s="64">
        <f t="shared" si="0"/>
        <v>8300</v>
      </c>
      <c r="V24" s="64"/>
      <c r="W24" s="62"/>
      <c r="X24" s="62">
        <v>21</v>
      </c>
      <c r="Y24" s="64"/>
      <c r="Z24" s="81"/>
      <c r="AA24" s="62"/>
    </row>
    <row r="25" spans="1:258" ht="29.25" customHeight="1" x14ac:dyDescent="0.5">
      <c r="A25">
        <f t="shared" si="5"/>
        <v>22</v>
      </c>
      <c r="B25" s="120" t="s">
        <v>179</v>
      </c>
      <c r="C25" s="62" t="s">
        <v>135</v>
      </c>
      <c r="D25" s="76">
        <f t="shared" si="7"/>
        <v>46054</v>
      </c>
      <c r="E25" s="77">
        <v>14</v>
      </c>
      <c r="F25" s="77">
        <v>16</v>
      </c>
      <c r="G25" s="62">
        <f t="shared" si="6"/>
        <v>2</v>
      </c>
      <c r="H25" s="75">
        <v>150</v>
      </c>
      <c r="I25" s="74">
        <f t="shared" si="1"/>
        <v>300</v>
      </c>
      <c r="J25" s="75"/>
      <c r="K25" s="64">
        <f t="shared" si="8"/>
        <v>300</v>
      </c>
      <c r="L25" s="74">
        <v>0</v>
      </c>
      <c r="M25" s="74"/>
      <c r="N25" s="64">
        <v>8000</v>
      </c>
      <c r="O25" s="78">
        <v>774</v>
      </c>
      <c r="P25" s="64">
        <f t="shared" si="3"/>
        <v>1165.0400000000009</v>
      </c>
      <c r="Q25" s="64">
        <v>10270</v>
      </c>
      <c r="R25" s="64">
        <f>'4D'!F28</f>
        <v>30.96</v>
      </c>
      <c r="S25" s="74">
        <f t="shared" si="4"/>
        <v>9104.9599999999991</v>
      </c>
      <c r="T25" s="64">
        <v>0</v>
      </c>
      <c r="U25" s="64">
        <f>S25-T25</f>
        <v>9104.9599999999991</v>
      </c>
      <c r="V25" s="64"/>
      <c r="W25" s="62"/>
      <c r="X25" s="62">
        <v>22</v>
      </c>
      <c r="Y25" s="64"/>
      <c r="Z25" s="81">
        <f>O25-Y25</f>
        <v>774</v>
      </c>
      <c r="AA25" s="62"/>
    </row>
    <row r="26" spans="1:258" s="58" customFormat="1" ht="29.25" customHeight="1" x14ac:dyDescent="0.5">
      <c r="A26">
        <f t="shared" si="5"/>
        <v>23</v>
      </c>
      <c r="B26" s="120" t="s">
        <v>212</v>
      </c>
      <c r="C26" s="62" t="s">
        <v>136</v>
      </c>
      <c r="D26" s="76">
        <f t="shared" si="7"/>
        <v>46054</v>
      </c>
      <c r="E26" s="77">
        <v>25</v>
      </c>
      <c r="F26" s="77">
        <v>28</v>
      </c>
      <c r="G26" s="62">
        <f t="shared" si="6"/>
        <v>3</v>
      </c>
      <c r="H26" s="75">
        <v>150</v>
      </c>
      <c r="I26" s="74">
        <f t="shared" si="1"/>
        <v>450</v>
      </c>
      <c r="J26" s="75"/>
      <c r="K26" s="64">
        <f t="shared" si="8"/>
        <v>450</v>
      </c>
      <c r="L26" s="74">
        <v>0</v>
      </c>
      <c r="M26" s="74"/>
      <c r="N26" s="64">
        <v>8000</v>
      </c>
      <c r="O26" s="78"/>
      <c r="P26" s="64">
        <f t="shared" si="3"/>
        <v>2620</v>
      </c>
      <c r="Q26" s="64">
        <v>11070</v>
      </c>
      <c r="R26" s="64">
        <f>'5D'!F28</f>
        <v>0</v>
      </c>
      <c r="S26" s="74">
        <f t="shared" si="4"/>
        <v>8450</v>
      </c>
      <c r="T26" s="64">
        <v>0</v>
      </c>
      <c r="U26" s="64">
        <f t="shared" si="0"/>
        <v>8450</v>
      </c>
      <c r="V26" s="64"/>
      <c r="W26" s="62"/>
      <c r="X26" s="62">
        <v>23</v>
      </c>
      <c r="Y26" s="64">
        <v>0</v>
      </c>
      <c r="Z26" s="81"/>
      <c r="AA26" s="62"/>
    </row>
    <row r="27" spans="1:258" s="58" customFormat="1" ht="29.25" customHeight="1" x14ac:dyDescent="0.5">
      <c r="A27">
        <f t="shared" si="5"/>
        <v>24</v>
      </c>
      <c r="B27" s="120"/>
      <c r="C27" s="62" t="s">
        <v>137</v>
      </c>
      <c r="D27" s="76">
        <f t="shared" si="7"/>
        <v>46054</v>
      </c>
      <c r="E27" s="77">
        <v>28</v>
      </c>
      <c r="F27" s="77">
        <v>29</v>
      </c>
      <c r="G27" s="62">
        <f t="shared" si="6"/>
        <v>1</v>
      </c>
      <c r="H27" s="75">
        <v>150</v>
      </c>
      <c r="I27" s="74">
        <f t="shared" si="1"/>
        <v>150</v>
      </c>
      <c r="J27" s="75"/>
      <c r="K27" s="64">
        <f t="shared" si="8"/>
        <v>150</v>
      </c>
      <c r="L27" s="74">
        <v>0</v>
      </c>
      <c r="M27" s="74"/>
      <c r="N27" s="64">
        <v>7500</v>
      </c>
      <c r="O27" s="78">
        <v>484</v>
      </c>
      <c r="P27" s="64">
        <f t="shared" si="3"/>
        <v>3396.6400000000003</v>
      </c>
      <c r="Q27" s="64">
        <v>11550</v>
      </c>
      <c r="R27" s="64">
        <f>'6D'!F28</f>
        <v>19.36</v>
      </c>
      <c r="S27" s="74">
        <f t="shared" si="4"/>
        <v>8153.36</v>
      </c>
      <c r="T27" s="64">
        <v>0</v>
      </c>
      <c r="U27" s="64">
        <f t="shared" si="0"/>
        <v>8153.36</v>
      </c>
      <c r="V27" s="64"/>
      <c r="W27" s="62"/>
      <c r="X27" s="62">
        <v>24</v>
      </c>
      <c r="Y27" s="64">
        <v>0</v>
      </c>
      <c r="Z27" s="81">
        <f>O27-Y27</f>
        <v>484</v>
      </c>
      <c r="AA27" s="62"/>
    </row>
    <row r="28" spans="1:258" s="58" customFormat="1" ht="29.25" customHeight="1" x14ac:dyDescent="0.5">
      <c r="A28">
        <f t="shared" si="5"/>
        <v>25</v>
      </c>
      <c r="B28" s="120" t="s">
        <v>195</v>
      </c>
      <c r="C28" s="62" t="s">
        <v>138</v>
      </c>
      <c r="D28" s="76">
        <f t="shared" si="7"/>
        <v>46054</v>
      </c>
      <c r="E28" s="77">
        <v>35</v>
      </c>
      <c r="F28" s="77">
        <v>35</v>
      </c>
      <c r="G28" s="62">
        <f t="shared" si="6"/>
        <v>0</v>
      </c>
      <c r="H28" s="75">
        <v>150</v>
      </c>
      <c r="I28" s="74">
        <f t="shared" si="1"/>
        <v>0</v>
      </c>
      <c r="J28" s="75"/>
      <c r="K28" s="64">
        <f t="shared" si="8"/>
        <v>0</v>
      </c>
      <c r="L28" s="74">
        <v>0</v>
      </c>
      <c r="M28" s="74"/>
      <c r="N28" s="64">
        <v>8000</v>
      </c>
      <c r="O28" s="78"/>
      <c r="P28" s="64">
        <f t="shared" si="3"/>
        <v>3393</v>
      </c>
      <c r="Q28" s="64">
        <v>11393</v>
      </c>
      <c r="R28" s="64">
        <f>'1E'!F28</f>
        <v>0</v>
      </c>
      <c r="S28" s="74">
        <f t="shared" si="4"/>
        <v>8000</v>
      </c>
      <c r="T28" s="64">
        <v>0</v>
      </c>
      <c r="U28" s="64">
        <f t="shared" si="0"/>
        <v>8000</v>
      </c>
      <c r="V28" s="64"/>
      <c r="W28" s="62"/>
      <c r="X28" s="62">
        <v>25</v>
      </c>
      <c r="Y28" s="64"/>
      <c r="Z28" s="81"/>
      <c r="AA28" s="62"/>
    </row>
    <row r="29" spans="1:258" s="58" customFormat="1" ht="29.25" customHeight="1" x14ac:dyDescent="0.5">
      <c r="A29">
        <f t="shared" si="5"/>
        <v>26</v>
      </c>
      <c r="B29" s="62" t="s">
        <v>196</v>
      </c>
      <c r="C29" s="62" t="s">
        <v>139</v>
      </c>
      <c r="D29" s="76">
        <f t="shared" si="7"/>
        <v>46054</v>
      </c>
      <c r="E29" s="77">
        <v>28</v>
      </c>
      <c r="F29" s="77">
        <v>32</v>
      </c>
      <c r="G29" s="62">
        <f t="shared" si="6"/>
        <v>4</v>
      </c>
      <c r="H29" s="75">
        <v>150</v>
      </c>
      <c r="I29" s="74">
        <f t="shared" si="1"/>
        <v>600</v>
      </c>
      <c r="J29" s="75"/>
      <c r="K29" s="64">
        <f t="shared" si="8"/>
        <v>600</v>
      </c>
      <c r="L29" s="74">
        <v>0</v>
      </c>
      <c r="M29" s="74"/>
      <c r="N29" s="64">
        <v>8000</v>
      </c>
      <c r="O29" s="78"/>
      <c r="P29" s="64">
        <f t="shared" si="3"/>
        <v>2202</v>
      </c>
      <c r="Q29" s="64">
        <v>10802</v>
      </c>
      <c r="R29" s="64">
        <f>'3E'!F28</f>
        <v>0</v>
      </c>
      <c r="S29" s="74">
        <f t="shared" si="4"/>
        <v>8600</v>
      </c>
      <c r="T29" s="64">
        <v>0</v>
      </c>
      <c r="U29" s="64">
        <f t="shared" si="0"/>
        <v>8600</v>
      </c>
      <c r="V29" s="64"/>
      <c r="W29" s="62"/>
      <c r="X29" s="62">
        <v>26</v>
      </c>
      <c r="Y29" s="64"/>
      <c r="Z29" s="81"/>
      <c r="AA29" s="62"/>
    </row>
    <row r="30" spans="1:258" s="73" customFormat="1" ht="29.25" customHeight="1" x14ac:dyDescent="0.5">
      <c r="A30">
        <f t="shared" si="5"/>
        <v>27</v>
      </c>
      <c r="B30" s="75" t="s">
        <v>214</v>
      </c>
      <c r="C30" s="75" t="s">
        <v>140</v>
      </c>
      <c r="D30" s="76">
        <f t="shared" si="7"/>
        <v>46054</v>
      </c>
      <c r="E30" s="77">
        <v>20</v>
      </c>
      <c r="F30" s="77">
        <v>21</v>
      </c>
      <c r="G30" s="75">
        <f t="shared" si="6"/>
        <v>1</v>
      </c>
      <c r="H30" s="75">
        <v>150</v>
      </c>
      <c r="I30" s="74">
        <f t="shared" si="1"/>
        <v>150</v>
      </c>
      <c r="J30" s="75"/>
      <c r="K30" s="74">
        <f t="shared" si="8"/>
        <v>150</v>
      </c>
      <c r="L30" s="74">
        <v>0</v>
      </c>
      <c r="M30" s="74"/>
      <c r="N30" s="64">
        <v>7000</v>
      </c>
      <c r="O30" s="78"/>
      <c r="P30" s="74">
        <f t="shared" si="3"/>
        <v>1780</v>
      </c>
      <c r="Q30" s="74">
        <v>8930</v>
      </c>
      <c r="R30" s="74">
        <f>'2E'!F28</f>
        <v>0</v>
      </c>
      <c r="S30" s="74">
        <f t="shared" si="4"/>
        <v>7150</v>
      </c>
      <c r="T30" s="74">
        <v>0</v>
      </c>
      <c r="U30" s="74">
        <f t="shared" si="0"/>
        <v>7150</v>
      </c>
      <c r="V30" s="92">
        <f>S30*3%</f>
        <v>214.5</v>
      </c>
      <c r="W30" s="75" t="s">
        <v>109</v>
      </c>
      <c r="X30" s="93" t="s">
        <v>47</v>
      </c>
      <c r="Y30" s="74">
        <v>0</v>
      </c>
      <c r="Z30" s="79">
        <f>O30-Y30</f>
        <v>0</v>
      </c>
      <c r="AA30" s="75"/>
    </row>
    <row r="31" spans="1:258" s="58" customFormat="1" ht="29.25" customHeight="1" x14ac:dyDescent="0.5">
      <c r="A31">
        <f t="shared" si="5"/>
        <v>28</v>
      </c>
      <c r="B31" s="62" t="s">
        <v>187</v>
      </c>
      <c r="C31" s="62" t="s">
        <v>141</v>
      </c>
      <c r="D31" s="76">
        <f t="shared" si="7"/>
        <v>46054</v>
      </c>
      <c r="E31" s="77">
        <v>29</v>
      </c>
      <c r="F31" s="77">
        <v>30</v>
      </c>
      <c r="G31" s="62">
        <f t="shared" si="6"/>
        <v>1</v>
      </c>
      <c r="H31" s="75">
        <v>150</v>
      </c>
      <c r="I31" s="74">
        <f t="shared" si="1"/>
        <v>150</v>
      </c>
      <c r="J31" s="75"/>
      <c r="K31" s="64">
        <f t="shared" si="8"/>
        <v>150</v>
      </c>
      <c r="L31" s="74">
        <v>0</v>
      </c>
      <c r="M31" s="74"/>
      <c r="N31" s="64">
        <v>7000</v>
      </c>
      <c r="O31" s="78">
        <v>900</v>
      </c>
      <c r="P31" s="64">
        <f t="shared" si="3"/>
        <v>1484</v>
      </c>
      <c r="Q31" s="64">
        <v>9570</v>
      </c>
      <c r="R31" s="64">
        <f>'4E'!F28</f>
        <v>36</v>
      </c>
      <c r="S31" s="74">
        <f t="shared" si="4"/>
        <v>8086</v>
      </c>
      <c r="T31" s="64">
        <v>0</v>
      </c>
      <c r="U31" s="64">
        <f t="shared" si="0"/>
        <v>8086</v>
      </c>
      <c r="V31" s="64"/>
      <c r="W31" s="62"/>
      <c r="X31" s="94" t="s">
        <v>46</v>
      </c>
      <c r="Y31" s="64">
        <v>0</v>
      </c>
      <c r="Z31" s="81"/>
      <c r="AA31" s="62"/>
    </row>
    <row r="32" spans="1:258" ht="29.25" customHeight="1" x14ac:dyDescent="0.5">
      <c r="A32">
        <f t="shared" si="5"/>
        <v>29</v>
      </c>
      <c r="B32" s="120" t="s">
        <v>188</v>
      </c>
      <c r="C32" s="62" t="s">
        <v>142</v>
      </c>
      <c r="D32" s="76">
        <f t="shared" si="7"/>
        <v>46054</v>
      </c>
      <c r="E32" s="77">
        <v>29</v>
      </c>
      <c r="F32" s="77">
        <v>30</v>
      </c>
      <c r="G32" s="62">
        <f t="shared" si="6"/>
        <v>1</v>
      </c>
      <c r="H32" s="75">
        <v>150</v>
      </c>
      <c r="I32" s="74">
        <f t="shared" si="1"/>
        <v>150</v>
      </c>
      <c r="J32" s="75"/>
      <c r="K32" s="64">
        <f t="shared" ref="K32:K38" si="9">I32+J32</f>
        <v>150</v>
      </c>
      <c r="L32" s="74">
        <v>0</v>
      </c>
      <c r="M32" s="74"/>
      <c r="N32" s="64">
        <v>7000</v>
      </c>
      <c r="O32" s="78"/>
      <c r="P32" s="64">
        <f t="shared" si="3"/>
        <v>4240</v>
      </c>
      <c r="Q32" s="64">
        <v>11390</v>
      </c>
      <c r="R32" s="64">
        <f>'6E'!F28</f>
        <v>0</v>
      </c>
      <c r="S32" s="74">
        <f t="shared" si="4"/>
        <v>7150</v>
      </c>
      <c r="T32" s="64">
        <v>0</v>
      </c>
      <c r="U32" s="64">
        <f t="shared" si="0"/>
        <v>7150</v>
      </c>
      <c r="V32" s="64"/>
      <c r="W32" s="62"/>
      <c r="X32" s="94">
        <v>29</v>
      </c>
      <c r="Y32" s="64">
        <v>0</v>
      </c>
      <c r="Z32" s="81"/>
      <c r="AA32" s="62"/>
    </row>
    <row r="33" spans="1:258" ht="29.25" customHeight="1" x14ac:dyDescent="0.5">
      <c r="A33">
        <f t="shared" si="5"/>
        <v>30</v>
      </c>
      <c r="B33" s="120" t="s">
        <v>180</v>
      </c>
      <c r="C33" s="62" t="s">
        <v>143</v>
      </c>
      <c r="D33" s="76">
        <f t="shared" si="7"/>
        <v>46054</v>
      </c>
      <c r="E33" s="77">
        <v>30</v>
      </c>
      <c r="F33" s="77">
        <v>31</v>
      </c>
      <c r="G33" s="62">
        <f t="shared" si="6"/>
        <v>1</v>
      </c>
      <c r="H33" s="75">
        <v>150</v>
      </c>
      <c r="I33" s="74">
        <f t="shared" si="1"/>
        <v>150</v>
      </c>
      <c r="J33" s="75"/>
      <c r="K33" s="64">
        <f t="shared" si="9"/>
        <v>150</v>
      </c>
      <c r="L33" s="74">
        <v>0</v>
      </c>
      <c r="M33" s="74"/>
      <c r="N33" s="64">
        <v>7000</v>
      </c>
      <c r="O33" s="78"/>
      <c r="P33" s="64">
        <f t="shared" si="3"/>
        <v>3600</v>
      </c>
      <c r="Q33" s="64">
        <v>10750</v>
      </c>
      <c r="R33" s="64">
        <v>0</v>
      </c>
      <c r="S33" s="74">
        <f t="shared" si="4"/>
        <v>7150</v>
      </c>
      <c r="T33" s="64">
        <v>0</v>
      </c>
      <c r="U33" s="64">
        <f t="shared" si="0"/>
        <v>7150</v>
      </c>
      <c r="V33" s="64"/>
      <c r="W33" s="62"/>
      <c r="X33" s="94">
        <v>30</v>
      </c>
      <c r="Y33" s="64">
        <v>0</v>
      </c>
      <c r="Z33" s="81">
        <f>O33-Y33</f>
        <v>0</v>
      </c>
      <c r="AA33" s="62"/>
    </row>
    <row r="34" spans="1:258" ht="29.25" customHeight="1" x14ac:dyDescent="0.5">
      <c r="A34">
        <f t="shared" si="5"/>
        <v>31</v>
      </c>
      <c r="B34" s="62" t="s">
        <v>175</v>
      </c>
      <c r="C34" s="62" t="s">
        <v>144</v>
      </c>
      <c r="D34" s="76">
        <f t="shared" si="7"/>
        <v>46054</v>
      </c>
      <c r="E34" s="77">
        <v>48</v>
      </c>
      <c r="F34" s="77">
        <v>49</v>
      </c>
      <c r="G34" s="62">
        <f t="shared" si="6"/>
        <v>1</v>
      </c>
      <c r="H34" s="75">
        <v>150</v>
      </c>
      <c r="I34" s="74">
        <f t="shared" si="1"/>
        <v>150</v>
      </c>
      <c r="J34" s="75"/>
      <c r="K34" s="64">
        <f t="shared" si="9"/>
        <v>150</v>
      </c>
      <c r="L34" s="74">
        <v>0</v>
      </c>
      <c r="M34" s="74"/>
      <c r="N34" s="64">
        <v>10000</v>
      </c>
      <c r="O34" s="78"/>
      <c r="P34" s="64">
        <f t="shared" si="3"/>
        <v>1582</v>
      </c>
      <c r="Q34" s="64">
        <v>11732</v>
      </c>
      <c r="R34" s="64">
        <f>'7E'!F28</f>
        <v>0</v>
      </c>
      <c r="S34" s="74">
        <f t="shared" si="4"/>
        <v>10150</v>
      </c>
      <c r="T34" s="64">
        <v>0</v>
      </c>
      <c r="U34" s="64">
        <f t="shared" si="0"/>
        <v>10150</v>
      </c>
      <c r="V34" s="64"/>
      <c r="W34" s="62"/>
      <c r="X34" s="94">
        <v>31</v>
      </c>
      <c r="Y34" s="64"/>
      <c r="Z34" s="81"/>
      <c r="AA34" s="62"/>
    </row>
    <row r="35" spans="1:258" ht="29.25" customHeight="1" x14ac:dyDescent="0.5">
      <c r="A35">
        <f t="shared" si="5"/>
        <v>32</v>
      </c>
      <c r="B35" s="62" t="s">
        <v>197</v>
      </c>
      <c r="C35" s="62" t="s">
        <v>145</v>
      </c>
      <c r="D35" s="76">
        <f t="shared" si="7"/>
        <v>46054</v>
      </c>
      <c r="E35" s="77">
        <v>9</v>
      </c>
      <c r="F35" s="77">
        <v>10</v>
      </c>
      <c r="G35" s="62">
        <f t="shared" si="6"/>
        <v>1</v>
      </c>
      <c r="H35" s="75">
        <v>150</v>
      </c>
      <c r="I35" s="74">
        <f t="shared" si="1"/>
        <v>150</v>
      </c>
      <c r="J35" s="75"/>
      <c r="K35" s="64">
        <f t="shared" si="9"/>
        <v>150</v>
      </c>
      <c r="L35" s="74">
        <v>0</v>
      </c>
      <c r="M35" s="74"/>
      <c r="N35" s="64">
        <v>8000</v>
      </c>
      <c r="O35" s="78"/>
      <c r="P35" s="64">
        <f t="shared" si="3"/>
        <v>2784</v>
      </c>
      <c r="Q35" s="64">
        <v>10934</v>
      </c>
      <c r="R35" s="64">
        <f>'1F'!F28</f>
        <v>0</v>
      </c>
      <c r="S35" s="74">
        <f t="shared" si="4"/>
        <v>8150</v>
      </c>
      <c r="T35" s="64">
        <v>0</v>
      </c>
      <c r="U35" s="64">
        <f t="shared" si="0"/>
        <v>8150</v>
      </c>
      <c r="V35" s="64"/>
      <c r="W35" s="62"/>
      <c r="X35" s="94">
        <v>32</v>
      </c>
      <c r="Y35" s="64">
        <v>0</v>
      </c>
      <c r="Z35" s="81"/>
      <c r="AA35" s="62"/>
    </row>
    <row r="36" spans="1:258" s="90" customFormat="1" ht="29.25" customHeight="1" x14ac:dyDescent="0.5">
      <c r="A36">
        <f t="shared" si="5"/>
        <v>33</v>
      </c>
      <c r="B36" s="120" t="s">
        <v>198</v>
      </c>
      <c r="C36" s="62" t="s">
        <v>146</v>
      </c>
      <c r="D36" s="76">
        <f t="shared" si="7"/>
        <v>46054</v>
      </c>
      <c r="E36" s="77">
        <v>45</v>
      </c>
      <c r="F36" s="77">
        <v>46</v>
      </c>
      <c r="G36" s="62">
        <f t="shared" si="6"/>
        <v>1</v>
      </c>
      <c r="H36" s="75">
        <v>150</v>
      </c>
      <c r="I36" s="74">
        <f t="shared" si="1"/>
        <v>150</v>
      </c>
      <c r="J36" s="75"/>
      <c r="K36" s="64">
        <f t="shared" si="9"/>
        <v>150</v>
      </c>
      <c r="L36" s="74">
        <v>0</v>
      </c>
      <c r="M36" s="74"/>
      <c r="N36" s="64">
        <v>8000</v>
      </c>
      <c r="O36" s="78"/>
      <c r="P36" s="64">
        <f t="shared" si="3"/>
        <v>2120</v>
      </c>
      <c r="Q36" s="64">
        <v>10270</v>
      </c>
      <c r="R36" s="64">
        <f>'2F'!F28</f>
        <v>0</v>
      </c>
      <c r="S36" s="74">
        <f t="shared" si="4"/>
        <v>8150</v>
      </c>
      <c r="T36" s="64">
        <v>0</v>
      </c>
      <c r="U36" s="64">
        <f t="shared" si="0"/>
        <v>8150</v>
      </c>
      <c r="V36" s="64"/>
      <c r="W36" s="62"/>
      <c r="X36" s="94">
        <v>33</v>
      </c>
      <c r="Y36" s="64">
        <v>0</v>
      </c>
      <c r="Z36" s="81">
        <f>O36-Y36</f>
        <v>0</v>
      </c>
      <c r="AA36" s="62"/>
    </row>
    <row r="37" spans="1:258" ht="29.25" customHeight="1" x14ac:dyDescent="0.5">
      <c r="A37">
        <f t="shared" si="5"/>
        <v>34</v>
      </c>
      <c r="B37" s="95" t="s">
        <v>213</v>
      </c>
      <c r="C37" s="62" t="s">
        <v>147</v>
      </c>
      <c r="D37" s="76">
        <f t="shared" si="7"/>
        <v>46054</v>
      </c>
      <c r="E37" s="77">
        <v>28</v>
      </c>
      <c r="F37" s="77">
        <v>29</v>
      </c>
      <c r="G37" s="62">
        <f t="shared" si="6"/>
        <v>1</v>
      </c>
      <c r="H37" s="75">
        <v>150</v>
      </c>
      <c r="I37" s="74">
        <f t="shared" si="1"/>
        <v>150</v>
      </c>
      <c r="J37" s="75"/>
      <c r="K37" s="64">
        <f t="shared" si="9"/>
        <v>150</v>
      </c>
      <c r="L37" s="74">
        <v>0</v>
      </c>
      <c r="M37" s="74"/>
      <c r="N37" s="64">
        <v>7000</v>
      </c>
      <c r="O37" s="78"/>
      <c r="P37" s="64">
        <f t="shared" si="3"/>
        <v>3448</v>
      </c>
      <c r="Q37" s="64">
        <v>10598</v>
      </c>
      <c r="R37" s="64">
        <f>'3F'!F28</f>
        <v>0</v>
      </c>
      <c r="S37" s="74">
        <f t="shared" si="4"/>
        <v>7150</v>
      </c>
      <c r="T37" s="64">
        <v>0</v>
      </c>
      <c r="U37" s="64">
        <f t="shared" si="0"/>
        <v>7150</v>
      </c>
      <c r="V37" s="64"/>
      <c r="W37" s="62"/>
      <c r="X37" s="94">
        <v>34</v>
      </c>
      <c r="Y37" s="64">
        <v>0</v>
      </c>
      <c r="Z37" s="81"/>
      <c r="AA37" s="62"/>
    </row>
    <row r="38" spans="1:258" s="89" customFormat="1" ht="29.25" customHeight="1" x14ac:dyDescent="0.5">
      <c r="A38">
        <f t="shared" si="5"/>
        <v>35</v>
      </c>
      <c r="B38" s="121" t="s">
        <v>199</v>
      </c>
      <c r="C38" s="75" t="s">
        <v>148</v>
      </c>
      <c r="D38" s="76">
        <f t="shared" si="7"/>
        <v>46054</v>
      </c>
      <c r="E38" s="77">
        <v>36</v>
      </c>
      <c r="F38" s="77">
        <v>37</v>
      </c>
      <c r="G38" s="75">
        <f t="shared" si="6"/>
        <v>1</v>
      </c>
      <c r="H38" s="75">
        <v>150</v>
      </c>
      <c r="I38" s="74">
        <f t="shared" si="1"/>
        <v>150</v>
      </c>
      <c r="J38" s="75"/>
      <c r="K38" s="74">
        <f t="shared" si="9"/>
        <v>150</v>
      </c>
      <c r="L38" s="74">
        <v>0</v>
      </c>
      <c r="M38" s="74"/>
      <c r="N38" s="64">
        <v>7000</v>
      </c>
      <c r="O38" s="78"/>
      <c r="P38" s="74">
        <f t="shared" si="3"/>
        <v>1620</v>
      </c>
      <c r="Q38" s="74">
        <v>8770</v>
      </c>
      <c r="R38" s="74">
        <f>'4F'!F28</f>
        <v>0</v>
      </c>
      <c r="S38" s="74">
        <f t="shared" si="4"/>
        <v>7150</v>
      </c>
      <c r="T38" s="74">
        <v>0</v>
      </c>
      <c r="U38" s="74">
        <f t="shared" si="0"/>
        <v>7150</v>
      </c>
      <c r="V38" s="74"/>
      <c r="W38" s="75"/>
      <c r="X38" s="93">
        <v>35</v>
      </c>
      <c r="Y38" s="74">
        <v>0</v>
      </c>
      <c r="Z38" s="79">
        <f>O38-Y38</f>
        <v>0</v>
      </c>
      <c r="AA38" s="75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73"/>
      <c r="EA38" s="73"/>
      <c r="EB38" s="73"/>
      <c r="EC38" s="73"/>
      <c r="ED38" s="73"/>
      <c r="EE38" s="73"/>
      <c r="EF38" s="73"/>
      <c r="EG38" s="73"/>
      <c r="EH38" s="73"/>
      <c r="EI38" s="73"/>
      <c r="EJ38" s="73"/>
      <c r="EK38" s="73"/>
      <c r="EL38" s="73"/>
      <c r="EM38" s="73"/>
      <c r="EN38" s="73"/>
      <c r="EO38" s="73"/>
      <c r="EP38" s="73"/>
      <c r="EQ38" s="73"/>
      <c r="ER38" s="73"/>
      <c r="ES38" s="73"/>
      <c r="ET38" s="73"/>
      <c r="EU38" s="73"/>
      <c r="EV38" s="73"/>
      <c r="EW38" s="73"/>
      <c r="EX38" s="73"/>
      <c r="EY38" s="73"/>
      <c r="EZ38" s="73"/>
      <c r="FA38" s="73"/>
      <c r="FB38" s="73"/>
      <c r="FC38" s="73"/>
      <c r="FD38" s="73"/>
      <c r="FE38" s="73"/>
      <c r="FF38" s="73"/>
      <c r="FG38" s="73"/>
      <c r="FH38" s="73"/>
      <c r="FI38" s="73"/>
      <c r="FJ38" s="73"/>
      <c r="FK38" s="73"/>
      <c r="FL38" s="73"/>
      <c r="FM38" s="73"/>
      <c r="FN38" s="73"/>
      <c r="FO38" s="73"/>
      <c r="FP38" s="73"/>
      <c r="FQ38" s="73"/>
      <c r="FR38" s="73"/>
      <c r="FS38" s="73"/>
      <c r="FT38" s="73"/>
      <c r="FU38" s="73"/>
      <c r="FV38" s="73"/>
      <c r="FW38" s="73"/>
      <c r="FX38" s="73"/>
      <c r="FY38" s="73"/>
      <c r="FZ38" s="73"/>
      <c r="GA38" s="73"/>
      <c r="GB38" s="73"/>
      <c r="GC38" s="73"/>
      <c r="GD38" s="73"/>
      <c r="GE38" s="73"/>
      <c r="GF38" s="73"/>
      <c r="GG38" s="73"/>
      <c r="GH38" s="73"/>
      <c r="GI38" s="73"/>
      <c r="GJ38" s="73"/>
      <c r="GK38" s="73"/>
      <c r="GL38" s="73"/>
      <c r="GM38" s="73"/>
      <c r="GN38" s="73"/>
      <c r="GO38" s="73"/>
      <c r="GP38" s="73"/>
      <c r="GQ38" s="73"/>
      <c r="GR38" s="73"/>
      <c r="GS38" s="73"/>
      <c r="GT38" s="73"/>
      <c r="GU38" s="73"/>
      <c r="GV38" s="73"/>
      <c r="GW38" s="73"/>
      <c r="GX38" s="73"/>
      <c r="GY38" s="73"/>
      <c r="GZ38" s="73"/>
      <c r="HA38" s="73"/>
      <c r="HB38" s="73"/>
      <c r="HC38" s="73"/>
      <c r="HD38" s="73"/>
      <c r="HE38" s="73"/>
      <c r="HF38" s="73"/>
      <c r="HG38" s="73"/>
      <c r="HH38" s="73"/>
      <c r="HI38" s="73"/>
      <c r="HJ38" s="73"/>
      <c r="HK38" s="73"/>
      <c r="HL38" s="73"/>
      <c r="HM38" s="73"/>
      <c r="HN38" s="73"/>
      <c r="HO38" s="73"/>
      <c r="HP38" s="73"/>
      <c r="HQ38" s="73"/>
      <c r="HR38" s="73"/>
      <c r="HS38" s="73"/>
      <c r="HT38" s="73"/>
      <c r="HU38" s="73"/>
      <c r="HV38" s="73"/>
      <c r="HW38" s="73"/>
      <c r="HX38" s="73"/>
      <c r="HY38" s="73"/>
      <c r="HZ38" s="73"/>
      <c r="IA38" s="73"/>
      <c r="IB38" s="73"/>
      <c r="IC38" s="73"/>
      <c r="ID38" s="73"/>
      <c r="IE38" s="73"/>
      <c r="IF38" s="73"/>
      <c r="IG38" s="73"/>
      <c r="IH38" s="73"/>
      <c r="II38" s="73"/>
      <c r="IJ38" s="73"/>
      <c r="IK38" s="73"/>
      <c r="IL38" s="73"/>
      <c r="IM38" s="73"/>
      <c r="IN38" s="73"/>
      <c r="IO38" s="73"/>
      <c r="IP38" s="73"/>
      <c r="IQ38" s="73"/>
      <c r="IR38" s="73"/>
      <c r="IS38" s="73"/>
      <c r="IT38" s="73"/>
      <c r="IU38" s="73"/>
      <c r="IV38" s="73"/>
      <c r="IW38" s="73"/>
      <c r="IX38" s="73"/>
    </row>
    <row r="39" spans="1:258" s="89" customFormat="1" ht="29.25" customHeight="1" x14ac:dyDescent="0.5">
      <c r="A39">
        <f t="shared" si="5"/>
        <v>36</v>
      </c>
      <c r="B39" s="75" t="s">
        <v>200</v>
      </c>
      <c r="C39" s="75" t="s">
        <v>149</v>
      </c>
      <c r="D39" s="76">
        <f t="shared" si="7"/>
        <v>46054</v>
      </c>
      <c r="E39" s="77">
        <v>57</v>
      </c>
      <c r="F39" s="77">
        <v>59</v>
      </c>
      <c r="G39" s="75">
        <f>SUM(F39-E39)</f>
        <v>2</v>
      </c>
      <c r="H39" s="75">
        <v>150</v>
      </c>
      <c r="I39" s="74">
        <f t="shared" si="1"/>
        <v>300</v>
      </c>
      <c r="J39" s="75"/>
      <c r="K39" s="74">
        <f>I39+J39</f>
        <v>300</v>
      </c>
      <c r="L39" s="74">
        <v>0</v>
      </c>
      <c r="M39" s="74"/>
      <c r="N39" s="64">
        <v>7000</v>
      </c>
      <c r="O39" s="78"/>
      <c r="P39" s="74">
        <f t="shared" si="3"/>
        <v>1441</v>
      </c>
      <c r="Q39" s="74">
        <v>8770</v>
      </c>
      <c r="R39" s="74">
        <f>'6H'!F28</f>
        <v>29</v>
      </c>
      <c r="S39" s="74">
        <f t="shared" si="4"/>
        <v>7329</v>
      </c>
      <c r="T39" s="74">
        <v>0</v>
      </c>
      <c r="U39" s="74">
        <f>S39-T39</f>
        <v>7329</v>
      </c>
      <c r="V39" s="74"/>
      <c r="W39" s="75"/>
      <c r="X39" s="93" t="s">
        <v>100</v>
      </c>
      <c r="Y39" s="74">
        <v>0</v>
      </c>
      <c r="Z39" s="79">
        <f>O39-Y39</f>
        <v>0</v>
      </c>
      <c r="AA39" s="75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  <c r="IX39" s="73"/>
    </row>
    <row r="40" spans="1:258" s="89" customFormat="1" ht="29.25" customHeight="1" x14ac:dyDescent="0.5">
      <c r="A40">
        <f t="shared" si="5"/>
        <v>37</v>
      </c>
      <c r="B40" s="121" t="s">
        <v>181</v>
      </c>
      <c r="C40" s="75" t="s">
        <v>150</v>
      </c>
      <c r="D40" s="76">
        <f t="shared" si="7"/>
        <v>46054</v>
      </c>
      <c r="E40" s="77">
        <v>10</v>
      </c>
      <c r="F40" s="77">
        <v>11</v>
      </c>
      <c r="G40" s="75">
        <f t="shared" ref="G40:G53" si="10">SUM(F40-E40)</f>
        <v>1</v>
      </c>
      <c r="H40" s="75">
        <v>150</v>
      </c>
      <c r="I40" s="74">
        <f t="shared" si="1"/>
        <v>150</v>
      </c>
      <c r="J40" s="75"/>
      <c r="K40" s="74">
        <f t="shared" ref="K40:K52" si="11">I40+J40</f>
        <v>150</v>
      </c>
      <c r="L40" s="74">
        <v>0</v>
      </c>
      <c r="M40" s="74"/>
      <c r="N40" s="64">
        <v>6500</v>
      </c>
      <c r="O40" s="78"/>
      <c r="P40" s="74"/>
      <c r="Q40" s="74"/>
      <c r="R40" s="74"/>
      <c r="S40" s="74"/>
      <c r="T40" s="74"/>
      <c r="U40" s="74"/>
      <c r="V40" s="74"/>
      <c r="W40" s="75"/>
      <c r="X40" s="93"/>
      <c r="Y40" s="74"/>
      <c r="Z40" s="79"/>
      <c r="AA40" s="75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  <c r="CX40" s="73"/>
      <c r="CY40" s="73"/>
      <c r="CZ40" s="73"/>
      <c r="DA40" s="73"/>
      <c r="DB40" s="73"/>
      <c r="DC40" s="73"/>
      <c r="DD40" s="73"/>
      <c r="DE40" s="73"/>
      <c r="DF40" s="73"/>
      <c r="DG40" s="73"/>
      <c r="DH40" s="73"/>
      <c r="DI40" s="73"/>
      <c r="DJ40" s="73"/>
      <c r="DK40" s="73"/>
      <c r="DL40" s="73"/>
      <c r="DM40" s="73"/>
      <c r="DN40" s="73"/>
      <c r="DO40" s="73"/>
      <c r="DP40" s="73"/>
      <c r="DQ40" s="73"/>
      <c r="DR40" s="73"/>
      <c r="DS40" s="73"/>
      <c r="DT40" s="73"/>
      <c r="DU40" s="73"/>
      <c r="DV40" s="73"/>
      <c r="DW40" s="73"/>
      <c r="DX40" s="73"/>
      <c r="DY40" s="73"/>
      <c r="DZ40" s="73"/>
      <c r="EA40" s="73"/>
      <c r="EB40" s="73"/>
      <c r="EC40" s="73"/>
      <c r="ED40" s="73"/>
      <c r="EE40" s="73"/>
      <c r="EF40" s="73"/>
      <c r="EG40" s="73"/>
      <c r="EH40" s="73"/>
      <c r="EI40" s="73"/>
      <c r="EJ40" s="73"/>
      <c r="EK40" s="73"/>
      <c r="EL40" s="73"/>
      <c r="EM40" s="73"/>
      <c r="EN40" s="73"/>
      <c r="EO40" s="73"/>
      <c r="EP40" s="73"/>
      <c r="EQ40" s="73"/>
      <c r="ER40" s="73"/>
      <c r="ES40" s="73"/>
      <c r="ET40" s="73"/>
      <c r="EU40" s="73"/>
      <c r="EV40" s="73"/>
      <c r="EW40" s="73"/>
      <c r="EX40" s="73"/>
      <c r="EY40" s="73"/>
      <c r="EZ40" s="73"/>
      <c r="FA40" s="73"/>
      <c r="FB40" s="73"/>
      <c r="FC40" s="73"/>
      <c r="FD40" s="73"/>
      <c r="FE40" s="73"/>
      <c r="FF40" s="73"/>
      <c r="FG40" s="73"/>
      <c r="FH40" s="73"/>
      <c r="FI40" s="73"/>
      <c r="FJ40" s="73"/>
      <c r="FK40" s="73"/>
      <c r="FL40" s="73"/>
      <c r="FM40" s="73"/>
      <c r="FN40" s="73"/>
      <c r="FO40" s="73"/>
      <c r="FP40" s="73"/>
      <c r="FQ40" s="73"/>
      <c r="FR40" s="73"/>
      <c r="FS40" s="73"/>
      <c r="FT40" s="73"/>
      <c r="FU40" s="73"/>
      <c r="FV40" s="73"/>
      <c r="FW40" s="73"/>
      <c r="FX40" s="73"/>
      <c r="FY40" s="73"/>
      <c r="FZ40" s="73"/>
      <c r="GA40" s="73"/>
      <c r="GB40" s="73"/>
      <c r="GC40" s="73"/>
      <c r="GD40" s="73"/>
      <c r="GE40" s="73"/>
      <c r="GF40" s="73"/>
      <c r="GG40" s="73"/>
      <c r="GH40" s="73"/>
      <c r="GI40" s="73"/>
      <c r="GJ40" s="73"/>
      <c r="GK40" s="73"/>
      <c r="GL40" s="73"/>
      <c r="GM40" s="73"/>
      <c r="GN40" s="73"/>
      <c r="GO40" s="73"/>
      <c r="GP40" s="73"/>
      <c r="GQ40" s="73"/>
      <c r="GR40" s="73"/>
      <c r="GS40" s="73"/>
      <c r="GT40" s="73"/>
      <c r="GU40" s="73"/>
      <c r="GV40" s="73"/>
      <c r="GW40" s="73"/>
      <c r="GX40" s="73"/>
      <c r="GY40" s="73"/>
      <c r="GZ40" s="73"/>
      <c r="HA40" s="73"/>
      <c r="HB40" s="73"/>
      <c r="HC40" s="73"/>
      <c r="HD40" s="73"/>
      <c r="HE40" s="73"/>
      <c r="HF40" s="73"/>
      <c r="HG40" s="73"/>
      <c r="HH40" s="73"/>
      <c r="HI40" s="73"/>
      <c r="HJ40" s="73"/>
      <c r="HK40" s="73"/>
      <c r="HL40" s="73"/>
      <c r="HM40" s="73"/>
      <c r="HN40" s="73"/>
      <c r="HO40" s="73"/>
      <c r="HP40" s="73"/>
      <c r="HQ40" s="73"/>
      <c r="HR40" s="73"/>
      <c r="HS40" s="73"/>
      <c r="HT40" s="73"/>
      <c r="HU40" s="73"/>
      <c r="HV40" s="73"/>
      <c r="HW40" s="73"/>
      <c r="HX40" s="73"/>
      <c r="HY40" s="73"/>
      <c r="HZ40" s="73"/>
      <c r="IA40" s="73"/>
      <c r="IB40" s="73"/>
      <c r="IC40" s="73"/>
      <c r="ID40" s="73"/>
      <c r="IE40" s="73"/>
      <c r="IF40" s="73"/>
      <c r="IG40" s="73"/>
      <c r="IH40" s="73"/>
      <c r="II40" s="73"/>
      <c r="IJ40" s="73"/>
      <c r="IK40" s="73"/>
      <c r="IL40" s="73"/>
      <c r="IM40" s="73"/>
      <c r="IN40" s="73"/>
      <c r="IO40" s="73"/>
      <c r="IP40" s="73"/>
      <c r="IQ40" s="73"/>
      <c r="IR40" s="73"/>
      <c r="IS40" s="73"/>
      <c r="IT40" s="73"/>
      <c r="IU40" s="73"/>
      <c r="IV40" s="73"/>
      <c r="IW40" s="73"/>
      <c r="IX40" s="73"/>
    </row>
    <row r="41" spans="1:258" s="89" customFormat="1" ht="29.25" customHeight="1" x14ac:dyDescent="0.5">
      <c r="A41">
        <f t="shared" si="5"/>
        <v>38</v>
      </c>
      <c r="B41" s="75" t="s">
        <v>201</v>
      </c>
      <c r="C41" s="75" t="s">
        <v>151</v>
      </c>
      <c r="D41" s="76">
        <f t="shared" si="7"/>
        <v>46054</v>
      </c>
      <c r="E41" s="77">
        <v>48</v>
      </c>
      <c r="F41" s="77">
        <v>49</v>
      </c>
      <c r="G41" s="75">
        <f t="shared" si="10"/>
        <v>1</v>
      </c>
      <c r="H41" s="75">
        <v>150</v>
      </c>
      <c r="I41" s="74">
        <f t="shared" si="1"/>
        <v>150</v>
      </c>
      <c r="J41" s="75"/>
      <c r="K41" s="74">
        <f t="shared" si="11"/>
        <v>150</v>
      </c>
      <c r="L41" s="74">
        <v>0</v>
      </c>
      <c r="M41" s="74"/>
      <c r="N41" s="64">
        <v>10000</v>
      </c>
      <c r="O41" s="78">
        <v>1032</v>
      </c>
      <c r="P41" s="74"/>
      <c r="Q41" s="74"/>
      <c r="R41" s="74"/>
      <c r="S41" s="74"/>
      <c r="T41" s="74"/>
      <c r="U41" s="74"/>
      <c r="V41" s="74"/>
      <c r="W41" s="75"/>
      <c r="X41" s="93"/>
      <c r="Y41" s="74"/>
      <c r="Z41" s="79"/>
      <c r="AA41" s="75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  <c r="CS41" s="73"/>
      <c r="CT41" s="73"/>
      <c r="CU41" s="73"/>
      <c r="CV41" s="73"/>
      <c r="CW41" s="73"/>
      <c r="CX41" s="73"/>
      <c r="CY41" s="73"/>
      <c r="CZ41" s="73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3"/>
      <c r="DL41" s="73"/>
      <c r="DM41" s="73"/>
      <c r="DN41" s="73"/>
      <c r="DO41" s="73"/>
      <c r="DP41" s="73"/>
      <c r="DQ41" s="73"/>
      <c r="DR41" s="73"/>
      <c r="DS41" s="73"/>
      <c r="DT41" s="73"/>
      <c r="DU41" s="73"/>
      <c r="DV41" s="73"/>
      <c r="DW41" s="73"/>
      <c r="DX41" s="73"/>
      <c r="DY41" s="73"/>
      <c r="DZ41" s="73"/>
      <c r="EA41" s="73"/>
      <c r="EB41" s="73"/>
      <c r="EC41" s="73"/>
      <c r="ED41" s="73"/>
      <c r="EE41" s="73"/>
      <c r="EF41" s="73"/>
      <c r="EG41" s="73"/>
      <c r="EH41" s="73"/>
      <c r="EI41" s="73"/>
      <c r="EJ41" s="73"/>
      <c r="EK41" s="73"/>
      <c r="EL41" s="73"/>
      <c r="EM41" s="73"/>
      <c r="EN41" s="73"/>
      <c r="EO41" s="73"/>
      <c r="EP41" s="73"/>
      <c r="EQ41" s="73"/>
      <c r="ER41" s="73"/>
      <c r="ES41" s="73"/>
      <c r="ET41" s="73"/>
      <c r="EU41" s="73"/>
      <c r="EV41" s="73"/>
      <c r="EW41" s="73"/>
      <c r="EX41" s="73"/>
      <c r="EY41" s="73"/>
      <c r="EZ41" s="73"/>
      <c r="FA41" s="73"/>
      <c r="FB41" s="73"/>
      <c r="FC41" s="73"/>
      <c r="FD41" s="73"/>
      <c r="FE41" s="73"/>
      <c r="FF41" s="73"/>
      <c r="FG41" s="73"/>
      <c r="FH41" s="73"/>
      <c r="FI41" s="73"/>
      <c r="FJ41" s="73"/>
      <c r="FK41" s="73"/>
      <c r="FL41" s="73"/>
      <c r="FM41" s="73"/>
      <c r="FN41" s="73"/>
      <c r="FO41" s="73"/>
      <c r="FP41" s="73"/>
      <c r="FQ41" s="73"/>
      <c r="FR41" s="73"/>
      <c r="FS41" s="73"/>
      <c r="FT41" s="73"/>
      <c r="FU41" s="73"/>
      <c r="FV41" s="73"/>
      <c r="FW41" s="73"/>
      <c r="FX41" s="73"/>
      <c r="FY41" s="73"/>
      <c r="FZ41" s="73"/>
      <c r="GA41" s="73"/>
      <c r="GB41" s="73"/>
      <c r="GC41" s="73"/>
      <c r="GD41" s="73"/>
      <c r="GE41" s="73"/>
      <c r="GF41" s="73"/>
      <c r="GG41" s="73"/>
      <c r="GH41" s="73"/>
      <c r="GI41" s="73"/>
      <c r="GJ41" s="73"/>
      <c r="GK41" s="73"/>
      <c r="GL41" s="73"/>
      <c r="GM41" s="73"/>
      <c r="GN41" s="73"/>
      <c r="GO41" s="73"/>
      <c r="GP41" s="73"/>
      <c r="GQ41" s="73"/>
      <c r="GR41" s="73"/>
      <c r="GS41" s="73"/>
      <c r="GT41" s="73"/>
      <c r="GU41" s="73"/>
      <c r="GV41" s="73"/>
      <c r="GW41" s="73"/>
      <c r="GX41" s="73"/>
      <c r="GY41" s="73"/>
      <c r="GZ41" s="73"/>
      <c r="HA41" s="73"/>
      <c r="HB41" s="73"/>
      <c r="HC41" s="73"/>
      <c r="HD41" s="73"/>
      <c r="HE41" s="73"/>
      <c r="HF41" s="73"/>
      <c r="HG41" s="73"/>
      <c r="HH41" s="73"/>
      <c r="HI41" s="73"/>
      <c r="HJ41" s="73"/>
      <c r="HK41" s="73"/>
      <c r="HL41" s="73"/>
      <c r="HM41" s="73"/>
      <c r="HN41" s="73"/>
      <c r="HO41" s="73"/>
      <c r="HP41" s="73"/>
      <c r="HQ41" s="73"/>
      <c r="HR41" s="73"/>
      <c r="HS41" s="73"/>
      <c r="HT41" s="73"/>
      <c r="HU41" s="73"/>
      <c r="HV41" s="73"/>
      <c r="HW41" s="73"/>
      <c r="HX41" s="73"/>
      <c r="HY41" s="73"/>
      <c r="HZ41" s="73"/>
      <c r="IA41" s="73"/>
      <c r="IB41" s="73"/>
      <c r="IC41" s="73"/>
      <c r="ID41" s="73"/>
      <c r="IE41" s="73"/>
      <c r="IF41" s="73"/>
      <c r="IG41" s="73"/>
      <c r="IH41" s="73"/>
      <c r="II41" s="73"/>
      <c r="IJ41" s="73"/>
      <c r="IK41" s="73"/>
      <c r="IL41" s="73"/>
      <c r="IM41" s="73"/>
      <c r="IN41" s="73"/>
      <c r="IO41" s="73"/>
      <c r="IP41" s="73"/>
      <c r="IQ41" s="73"/>
      <c r="IR41" s="73"/>
      <c r="IS41" s="73"/>
      <c r="IT41" s="73"/>
      <c r="IU41" s="73"/>
      <c r="IV41" s="73"/>
      <c r="IW41" s="73"/>
      <c r="IX41" s="73"/>
    </row>
    <row r="42" spans="1:258" s="89" customFormat="1" ht="29.25" customHeight="1" x14ac:dyDescent="0.5">
      <c r="A42">
        <f t="shared" si="5"/>
        <v>39</v>
      </c>
      <c r="B42" s="121"/>
      <c r="C42" s="75" t="s">
        <v>152</v>
      </c>
      <c r="D42" s="76">
        <f t="shared" si="7"/>
        <v>46054</v>
      </c>
      <c r="E42" s="77">
        <v>40</v>
      </c>
      <c r="F42" s="77">
        <v>40</v>
      </c>
      <c r="G42" s="75">
        <f t="shared" si="10"/>
        <v>0</v>
      </c>
      <c r="H42" s="75">
        <v>150</v>
      </c>
      <c r="I42" s="74">
        <f t="shared" si="1"/>
        <v>0</v>
      </c>
      <c r="J42" s="75"/>
      <c r="K42" s="74">
        <f t="shared" si="11"/>
        <v>0</v>
      </c>
      <c r="L42" s="74">
        <v>0</v>
      </c>
      <c r="M42" s="74"/>
      <c r="N42" s="74">
        <v>8000</v>
      </c>
      <c r="O42" s="78"/>
      <c r="P42" s="74"/>
      <c r="Q42" s="74"/>
      <c r="R42" s="74"/>
      <c r="S42" s="74"/>
      <c r="T42" s="74"/>
      <c r="U42" s="74"/>
      <c r="V42" s="74"/>
      <c r="W42" s="75"/>
      <c r="X42" s="93"/>
      <c r="Y42" s="74"/>
      <c r="Z42" s="79"/>
      <c r="AA42" s="75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  <c r="CS42" s="73"/>
      <c r="CT42" s="73"/>
      <c r="CU42" s="73"/>
      <c r="CV42" s="73"/>
      <c r="CW42" s="73"/>
      <c r="CX42" s="73"/>
      <c r="CY42" s="73"/>
      <c r="CZ42" s="73"/>
      <c r="DA42" s="73"/>
      <c r="DB42" s="73"/>
      <c r="DC42" s="73"/>
      <c r="DD42" s="73"/>
      <c r="DE42" s="73"/>
      <c r="DF42" s="73"/>
      <c r="DG42" s="73"/>
      <c r="DH42" s="73"/>
      <c r="DI42" s="73"/>
      <c r="DJ42" s="73"/>
      <c r="DK42" s="73"/>
      <c r="DL42" s="73"/>
      <c r="DM42" s="73"/>
      <c r="DN42" s="73"/>
      <c r="DO42" s="73"/>
      <c r="DP42" s="73"/>
      <c r="DQ42" s="73"/>
      <c r="DR42" s="73"/>
      <c r="DS42" s="73"/>
      <c r="DT42" s="73"/>
      <c r="DU42" s="73"/>
      <c r="DV42" s="73"/>
      <c r="DW42" s="73"/>
      <c r="DX42" s="73"/>
      <c r="DY42" s="73"/>
      <c r="DZ42" s="73"/>
      <c r="EA42" s="73"/>
      <c r="EB42" s="73"/>
      <c r="EC42" s="73"/>
      <c r="ED42" s="73"/>
      <c r="EE42" s="73"/>
      <c r="EF42" s="73"/>
      <c r="EG42" s="73"/>
      <c r="EH42" s="73"/>
      <c r="EI42" s="73"/>
      <c r="EJ42" s="73"/>
      <c r="EK42" s="73"/>
      <c r="EL42" s="73"/>
      <c r="EM42" s="73"/>
      <c r="EN42" s="73"/>
      <c r="EO42" s="73"/>
      <c r="EP42" s="73"/>
      <c r="EQ42" s="73"/>
      <c r="ER42" s="73"/>
      <c r="ES42" s="73"/>
      <c r="ET42" s="73"/>
      <c r="EU42" s="73"/>
      <c r="EV42" s="73"/>
      <c r="EW42" s="73"/>
      <c r="EX42" s="73"/>
      <c r="EY42" s="73"/>
      <c r="EZ42" s="73"/>
      <c r="FA42" s="73"/>
      <c r="FB42" s="73"/>
      <c r="FC42" s="73"/>
      <c r="FD42" s="73"/>
      <c r="FE42" s="73"/>
      <c r="FF42" s="73"/>
      <c r="FG42" s="73"/>
      <c r="FH42" s="73"/>
      <c r="FI42" s="73"/>
      <c r="FJ42" s="73"/>
      <c r="FK42" s="73"/>
      <c r="FL42" s="73"/>
      <c r="FM42" s="73"/>
      <c r="FN42" s="73"/>
      <c r="FO42" s="73"/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  <c r="GG42" s="73"/>
      <c r="GH42" s="73"/>
      <c r="GI42" s="73"/>
      <c r="GJ42" s="73"/>
      <c r="GK42" s="73"/>
      <c r="GL42" s="73"/>
      <c r="GM42" s="73"/>
      <c r="GN42" s="73"/>
      <c r="GO42" s="73"/>
      <c r="GP42" s="73"/>
      <c r="GQ42" s="73"/>
      <c r="GR42" s="73"/>
      <c r="GS42" s="73"/>
      <c r="GT42" s="73"/>
      <c r="GU42" s="73"/>
      <c r="GV42" s="73"/>
      <c r="GW42" s="73"/>
      <c r="GX42" s="73"/>
      <c r="GY42" s="73"/>
      <c r="GZ42" s="73"/>
      <c r="HA42" s="73"/>
      <c r="HB42" s="73"/>
      <c r="HC42" s="73"/>
      <c r="HD42" s="73"/>
      <c r="HE42" s="73"/>
      <c r="HF42" s="73"/>
      <c r="HG42" s="73"/>
      <c r="HH42" s="73"/>
      <c r="HI42" s="73"/>
      <c r="HJ42" s="73"/>
      <c r="HK42" s="73"/>
      <c r="HL42" s="73"/>
      <c r="HM42" s="73"/>
      <c r="HN42" s="73"/>
      <c r="HO42" s="73"/>
      <c r="HP42" s="73"/>
      <c r="HQ42" s="73"/>
      <c r="HR42" s="73"/>
      <c r="HS42" s="73"/>
      <c r="HT42" s="73"/>
      <c r="HU42" s="73"/>
      <c r="HV42" s="73"/>
      <c r="HW42" s="73"/>
      <c r="HX42" s="73"/>
      <c r="HY42" s="73"/>
      <c r="HZ42" s="73"/>
      <c r="IA42" s="73"/>
      <c r="IB42" s="73"/>
      <c r="IC42" s="73"/>
      <c r="ID42" s="73"/>
      <c r="IE42" s="73"/>
      <c r="IF42" s="73"/>
      <c r="IG42" s="73"/>
      <c r="IH42" s="73"/>
      <c r="II42" s="73"/>
      <c r="IJ42" s="73"/>
      <c r="IK42" s="73"/>
      <c r="IL42" s="73"/>
      <c r="IM42" s="73"/>
      <c r="IN42" s="73"/>
      <c r="IO42" s="73"/>
      <c r="IP42" s="73"/>
      <c r="IQ42" s="73"/>
      <c r="IR42" s="73"/>
      <c r="IS42" s="73"/>
      <c r="IT42" s="73"/>
      <c r="IU42" s="73"/>
      <c r="IV42" s="73"/>
      <c r="IW42" s="73"/>
      <c r="IX42" s="73"/>
    </row>
    <row r="43" spans="1:258" s="89" customFormat="1" ht="29.25" customHeight="1" x14ac:dyDescent="0.5">
      <c r="A43">
        <f t="shared" si="5"/>
        <v>40</v>
      </c>
      <c r="B43" s="121" t="s">
        <v>202</v>
      </c>
      <c r="C43" s="75" t="s">
        <v>153</v>
      </c>
      <c r="D43" s="76">
        <f t="shared" si="7"/>
        <v>46054</v>
      </c>
      <c r="E43" s="77">
        <v>39</v>
      </c>
      <c r="F43" s="77">
        <v>40</v>
      </c>
      <c r="G43" s="75">
        <f t="shared" si="10"/>
        <v>1</v>
      </c>
      <c r="H43" s="75">
        <v>150</v>
      </c>
      <c r="I43" s="74">
        <f t="shared" si="1"/>
        <v>150</v>
      </c>
      <c r="J43" s="75"/>
      <c r="K43" s="74">
        <f t="shared" si="11"/>
        <v>150</v>
      </c>
      <c r="L43" s="74">
        <v>0</v>
      </c>
      <c r="M43" s="74"/>
      <c r="N43" s="74">
        <v>8000</v>
      </c>
      <c r="O43" s="78">
        <v>774</v>
      </c>
      <c r="P43" s="74"/>
      <c r="Q43" s="74"/>
      <c r="R43" s="74"/>
      <c r="S43" s="74"/>
      <c r="T43" s="74"/>
      <c r="U43" s="74"/>
      <c r="V43" s="74"/>
      <c r="W43" s="75"/>
      <c r="X43" s="93"/>
      <c r="Y43" s="74"/>
      <c r="Z43" s="79"/>
      <c r="AA43" s="75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  <c r="IX43" s="73"/>
    </row>
    <row r="44" spans="1:258" s="89" customFormat="1" ht="29.25" customHeight="1" x14ac:dyDescent="0.5">
      <c r="A44">
        <f t="shared" si="5"/>
        <v>41</v>
      </c>
      <c r="B44" s="121" t="s">
        <v>182</v>
      </c>
      <c r="C44" s="75" t="s">
        <v>154</v>
      </c>
      <c r="D44" s="76">
        <f t="shared" si="7"/>
        <v>46054</v>
      </c>
      <c r="E44" s="77">
        <v>65</v>
      </c>
      <c r="F44" s="77">
        <v>66</v>
      </c>
      <c r="G44" s="75">
        <f t="shared" si="10"/>
        <v>1</v>
      </c>
      <c r="H44" s="75">
        <v>150</v>
      </c>
      <c r="I44" s="74">
        <f t="shared" si="1"/>
        <v>150</v>
      </c>
      <c r="J44" s="75"/>
      <c r="K44" s="74">
        <f t="shared" si="11"/>
        <v>150</v>
      </c>
      <c r="L44" s="74">
        <v>0</v>
      </c>
      <c r="M44" s="74"/>
      <c r="N44" s="74">
        <v>10000</v>
      </c>
      <c r="O44" s="78">
        <v>645</v>
      </c>
      <c r="P44" s="74"/>
      <c r="Q44" s="74"/>
      <c r="R44" s="74"/>
      <c r="S44" s="74"/>
      <c r="T44" s="74"/>
      <c r="U44" s="74"/>
      <c r="V44" s="74"/>
      <c r="W44" s="75"/>
      <c r="X44" s="93"/>
      <c r="Y44" s="74"/>
      <c r="Z44" s="79"/>
      <c r="AA44" s="75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  <c r="CU44" s="73"/>
      <c r="CV44" s="73"/>
      <c r="CW44" s="73"/>
      <c r="CX44" s="73"/>
      <c r="CY44" s="73"/>
      <c r="CZ44" s="73"/>
      <c r="DA44" s="73"/>
      <c r="DB44" s="73"/>
      <c r="DC44" s="73"/>
      <c r="DD44" s="73"/>
      <c r="DE44" s="73"/>
      <c r="DF44" s="73"/>
      <c r="DG44" s="73"/>
      <c r="DH44" s="73"/>
      <c r="DI44" s="73"/>
      <c r="DJ44" s="73"/>
      <c r="DK44" s="73"/>
      <c r="DL44" s="73"/>
      <c r="DM44" s="73"/>
      <c r="DN44" s="73"/>
      <c r="DO44" s="73"/>
      <c r="DP44" s="73"/>
      <c r="DQ44" s="73"/>
      <c r="DR44" s="73"/>
      <c r="DS44" s="73"/>
      <c r="DT44" s="73"/>
      <c r="DU44" s="73"/>
      <c r="DV44" s="73"/>
      <c r="DW44" s="73"/>
      <c r="DX44" s="73"/>
      <c r="DY44" s="73"/>
      <c r="DZ44" s="73"/>
      <c r="EA44" s="73"/>
      <c r="EB44" s="73"/>
      <c r="EC44" s="73"/>
      <c r="ED44" s="73"/>
      <c r="EE44" s="73"/>
      <c r="EF44" s="73"/>
      <c r="EG44" s="73"/>
      <c r="EH44" s="73"/>
      <c r="EI44" s="73"/>
      <c r="EJ44" s="73"/>
      <c r="EK44" s="73"/>
      <c r="EL44" s="73"/>
      <c r="EM44" s="73"/>
      <c r="EN44" s="73"/>
      <c r="EO44" s="73"/>
      <c r="EP44" s="73"/>
      <c r="EQ44" s="73"/>
      <c r="ER44" s="73"/>
      <c r="ES44" s="73"/>
      <c r="ET44" s="73"/>
      <c r="EU44" s="73"/>
      <c r="EV44" s="73"/>
      <c r="EW44" s="73"/>
      <c r="EX44" s="73"/>
      <c r="EY44" s="73"/>
      <c r="EZ44" s="73"/>
      <c r="FA44" s="73"/>
      <c r="FB44" s="73"/>
      <c r="FC44" s="73"/>
      <c r="FD44" s="73"/>
      <c r="FE44" s="73"/>
      <c r="FF44" s="73"/>
      <c r="FG44" s="73"/>
      <c r="FH44" s="73"/>
      <c r="FI44" s="73"/>
      <c r="FJ44" s="73"/>
      <c r="FK44" s="73"/>
      <c r="FL44" s="73"/>
      <c r="FM44" s="73"/>
      <c r="FN44" s="73"/>
      <c r="FO44" s="73"/>
      <c r="FP44" s="73"/>
      <c r="FQ44" s="73"/>
      <c r="FR44" s="73"/>
      <c r="FS44" s="73"/>
      <c r="FT44" s="73"/>
      <c r="FU44" s="73"/>
      <c r="FV44" s="73"/>
      <c r="FW44" s="73"/>
      <c r="FX44" s="73"/>
      <c r="FY44" s="73"/>
      <c r="FZ44" s="73"/>
      <c r="GA44" s="73"/>
      <c r="GB44" s="73"/>
      <c r="GC44" s="73"/>
      <c r="GD44" s="73"/>
      <c r="GE44" s="73"/>
      <c r="GF44" s="73"/>
      <c r="GG44" s="73"/>
      <c r="GH44" s="73"/>
      <c r="GI44" s="73"/>
      <c r="GJ44" s="73"/>
      <c r="GK44" s="73"/>
      <c r="GL44" s="73"/>
      <c r="GM44" s="73"/>
      <c r="GN44" s="73"/>
      <c r="GO44" s="73"/>
      <c r="GP44" s="73"/>
      <c r="GQ44" s="73"/>
      <c r="GR44" s="73"/>
      <c r="GS44" s="73"/>
      <c r="GT44" s="73"/>
      <c r="GU44" s="73"/>
      <c r="GV44" s="73"/>
      <c r="GW44" s="73"/>
      <c r="GX44" s="73"/>
      <c r="GY44" s="73"/>
      <c r="GZ44" s="73"/>
      <c r="HA44" s="73"/>
      <c r="HB44" s="73"/>
      <c r="HC44" s="73"/>
      <c r="HD44" s="73"/>
      <c r="HE44" s="73"/>
      <c r="HF44" s="73"/>
      <c r="HG44" s="73"/>
      <c r="HH44" s="73"/>
      <c r="HI44" s="73"/>
      <c r="HJ44" s="73"/>
      <c r="HK44" s="73"/>
      <c r="HL44" s="73"/>
      <c r="HM44" s="73"/>
      <c r="HN44" s="73"/>
      <c r="HO44" s="73"/>
      <c r="HP44" s="73"/>
      <c r="HQ44" s="73"/>
      <c r="HR44" s="73"/>
      <c r="HS44" s="73"/>
      <c r="HT44" s="73"/>
      <c r="HU44" s="73"/>
      <c r="HV44" s="73"/>
      <c r="HW44" s="73"/>
      <c r="HX44" s="73"/>
      <c r="HY44" s="73"/>
      <c r="HZ44" s="73"/>
      <c r="IA44" s="73"/>
      <c r="IB44" s="73"/>
      <c r="IC44" s="73"/>
      <c r="ID44" s="73"/>
      <c r="IE44" s="73"/>
      <c r="IF44" s="73"/>
      <c r="IG44" s="73"/>
      <c r="IH44" s="73"/>
      <c r="II44" s="73"/>
      <c r="IJ44" s="73"/>
      <c r="IK44" s="73"/>
      <c r="IL44" s="73"/>
      <c r="IM44" s="73"/>
      <c r="IN44" s="73"/>
      <c r="IO44" s="73"/>
      <c r="IP44" s="73"/>
      <c r="IQ44" s="73"/>
      <c r="IR44" s="73"/>
      <c r="IS44" s="73"/>
      <c r="IT44" s="73"/>
      <c r="IU44" s="73"/>
      <c r="IV44" s="73"/>
      <c r="IW44" s="73"/>
      <c r="IX44" s="73"/>
    </row>
    <row r="45" spans="1:258" s="89" customFormat="1" ht="29.25" customHeight="1" x14ac:dyDescent="0.5">
      <c r="A45">
        <f t="shared" si="5"/>
        <v>42</v>
      </c>
      <c r="B45" s="121" t="s">
        <v>183</v>
      </c>
      <c r="C45" s="75" t="s">
        <v>155</v>
      </c>
      <c r="D45" s="76">
        <f t="shared" si="7"/>
        <v>46054</v>
      </c>
      <c r="E45" s="77">
        <v>43</v>
      </c>
      <c r="F45" s="77">
        <v>43</v>
      </c>
      <c r="G45" s="75">
        <f t="shared" si="10"/>
        <v>0</v>
      </c>
      <c r="H45" s="75">
        <v>150</v>
      </c>
      <c r="I45" s="74">
        <f t="shared" si="1"/>
        <v>0</v>
      </c>
      <c r="J45" s="75"/>
      <c r="K45" s="74">
        <f t="shared" si="11"/>
        <v>0</v>
      </c>
      <c r="L45" s="74">
        <v>0</v>
      </c>
      <c r="M45" s="74"/>
      <c r="N45" s="74">
        <v>8000</v>
      </c>
      <c r="O45" s="78">
        <v>516</v>
      </c>
      <c r="P45" s="74"/>
      <c r="Q45" s="74"/>
      <c r="R45" s="74"/>
      <c r="S45" s="74"/>
      <c r="T45" s="74"/>
      <c r="U45" s="74"/>
      <c r="V45" s="74"/>
      <c r="W45" s="75"/>
      <c r="X45" s="93"/>
      <c r="Y45" s="74"/>
      <c r="Z45" s="79"/>
      <c r="AA45" s="75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B45" s="73"/>
      <c r="DC45" s="73"/>
      <c r="DD45" s="73"/>
      <c r="DE45" s="73"/>
      <c r="DF45" s="73"/>
      <c r="DG45" s="73"/>
      <c r="DH45" s="73"/>
      <c r="DI45" s="73"/>
      <c r="DJ45" s="73"/>
      <c r="DK45" s="73"/>
      <c r="DL45" s="73"/>
      <c r="DM45" s="73"/>
      <c r="DN45" s="73"/>
      <c r="DO45" s="73"/>
      <c r="DP45" s="73"/>
      <c r="DQ45" s="73"/>
      <c r="DR45" s="73"/>
      <c r="DS45" s="73"/>
      <c r="DT45" s="73"/>
      <c r="DU45" s="73"/>
      <c r="DV45" s="73"/>
      <c r="DW45" s="73"/>
      <c r="DX45" s="73"/>
      <c r="DY45" s="73"/>
      <c r="DZ45" s="73"/>
      <c r="EA45" s="73"/>
      <c r="EB45" s="73"/>
      <c r="EC45" s="73"/>
      <c r="ED45" s="73"/>
      <c r="EE45" s="73"/>
      <c r="EF45" s="73"/>
      <c r="EG45" s="73"/>
      <c r="EH45" s="73"/>
      <c r="EI45" s="73"/>
      <c r="EJ45" s="73"/>
      <c r="EK45" s="73"/>
      <c r="EL45" s="73"/>
      <c r="EM45" s="73"/>
      <c r="EN45" s="73"/>
      <c r="EO45" s="73"/>
      <c r="EP45" s="73"/>
      <c r="EQ45" s="73"/>
      <c r="ER45" s="73"/>
      <c r="ES45" s="73"/>
      <c r="ET45" s="73"/>
      <c r="EU45" s="73"/>
      <c r="EV45" s="73"/>
      <c r="EW45" s="73"/>
      <c r="EX45" s="73"/>
      <c r="EY45" s="73"/>
      <c r="EZ45" s="73"/>
      <c r="FA45" s="73"/>
      <c r="FB45" s="73"/>
      <c r="FC45" s="73"/>
      <c r="FD45" s="73"/>
      <c r="FE45" s="73"/>
      <c r="FF45" s="73"/>
      <c r="FG45" s="73"/>
      <c r="FH45" s="73"/>
      <c r="FI45" s="73"/>
      <c r="FJ45" s="73"/>
      <c r="FK45" s="73"/>
      <c r="FL45" s="73"/>
      <c r="FM45" s="73"/>
      <c r="FN45" s="73"/>
      <c r="FO45" s="73"/>
      <c r="FP45" s="73"/>
      <c r="FQ45" s="73"/>
      <c r="FR45" s="73"/>
      <c r="FS45" s="73"/>
      <c r="FT45" s="73"/>
      <c r="FU45" s="73"/>
      <c r="FV45" s="73"/>
      <c r="FW45" s="73"/>
      <c r="FX45" s="73"/>
      <c r="FY45" s="73"/>
      <c r="FZ45" s="73"/>
      <c r="GA45" s="73"/>
      <c r="GB45" s="73"/>
      <c r="GC45" s="73"/>
      <c r="GD45" s="73"/>
      <c r="GE45" s="73"/>
      <c r="GF45" s="73"/>
      <c r="GG45" s="73"/>
      <c r="GH45" s="73"/>
      <c r="GI45" s="73"/>
      <c r="GJ45" s="73"/>
      <c r="GK45" s="73"/>
      <c r="GL45" s="73"/>
      <c r="GM45" s="73"/>
      <c r="GN45" s="73"/>
      <c r="GO45" s="73"/>
      <c r="GP45" s="73"/>
      <c r="GQ45" s="73"/>
      <c r="GR45" s="73"/>
      <c r="GS45" s="73"/>
      <c r="GT45" s="73"/>
      <c r="GU45" s="73"/>
      <c r="GV45" s="73"/>
      <c r="GW45" s="73"/>
      <c r="GX45" s="73"/>
      <c r="GY45" s="73"/>
      <c r="GZ45" s="73"/>
      <c r="HA45" s="73"/>
      <c r="HB45" s="73"/>
      <c r="HC45" s="73"/>
      <c r="HD45" s="73"/>
      <c r="HE45" s="73"/>
      <c r="HF45" s="73"/>
      <c r="HG45" s="73"/>
      <c r="HH45" s="73"/>
      <c r="HI45" s="73"/>
      <c r="HJ45" s="73"/>
      <c r="HK45" s="73"/>
      <c r="HL45" s="73"/>
      <c r="HM45" s="73"/>
      <c r="HN45" s="73"/>
      <c r="HO45" s="73"/>
      <c r="HP45" s="73"/>
      <c r="HQ45" s="73"/>
      <c r="HR45" s="73"/>
      <c r="HS45" s="73"/>
      <c r="HT45" s="73"/>
      <c r="HU45" s="73"/>
      <c r="HV45" s="73"/>
      <c r="HW45" s="73"/>
      <c r="HX45" s="73"/>
      <c r="HY45" s="73"/>
      <c r="HZ45" s="73"/>
      <c r="IA45" s="73"/>
      <c r="IB45" s="73"/>
      <c r="IC45" s="73"/>
      <c r="ID45" s="73"/>
      <c r="IE45" s="73"/>
      <c r="IF45" s="73"/>
      <c r="IG45" s="73"/>
      <c r="IH45" s="73"/>
      <c r="II45" s="73"/>
      <c r="IJ45" s="73"/>
      <c r="IK45" s="73"/>
      <c r="IL45" s="73"/>
      <c r="IM45" s="73"/>
      <c r="IN45" s="73"/>
      <c r="IO45" s="73"/>
      <c r="IP45" s="73"/>
      <c r="IQ45" s="73"/>
      <c r="IR45" s="73"/>
      <c r="IS45" s="73"/>
      <c r="IT45" s="73"/>
      <c r="IU45" s="73"/>
      <c r="IV45" s="73"/>
      <c r="IW45" s="73"/>
      <c r="IX45" s="73"/>
    </row>
    <row r="46" spans="1:258" s="89" customFormat="1" ht="29.25" customHeight="1" x14ac:dyDescent="0.5">
      <c r="A46">
        <f t="shared" si="5"/>
        <v>43</v>
      </c>
      <c r="B46" s="75" t="s">
        <v>203</v>
      </c>
      <c r="C46" s="75" t="s">
        <v>156</v>
      </c>
      <c r="D46" s="76">
        <f t="shared" si="7"/>
        <v>46054</v>
      </c>
      <c r="E46" s="77">
        <v>47</v>
      </c>
      <c r="F46" s="77">
        <v>47</v>
      </c>
      <c r="G46" s="75">
        <f t="shared" si="10"/>
        <v>0</v>
      </c>
      <c r="H46" s="75">
        <v>150</v>
      </c>
      <c r="I46" s="74">
        <f t="shared" si="1"/>
        <v>0</v>
      </c>
      <c r="J46" s="75"/>
      <c r="K46" s="74">
        <f t="shared" si="11"/>
        <v>0</v>
      </c>
      <c r="L46" s="74">
        <v>0</v>
      </c>
      <c r="M46" s="74"/>
      <c r="N46" s="74">
        <v>8000</v>
      </c>
      <c r="O46" s="78"/>
      <c r="P46" s="74"/>
      <c r="Q46" s="74"/>
      <c r="R46" s="74"/>
      <c r="S46" s="74"/>
      <c r="T46" s="74"/>
      <c r="U46" s="74"/>
      <c r="V46" s="74"/>
      <c r="W46" s="75"/>
      <c r="X46" s="93"/>
      <c r="Y46" s="74"/>
      <c r="Z46" s="79"/>
      <c r="AA46" s="75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3"/>
      <c r="DA46" s="73"/>
      <c r="DB46" s="73"/>
      <c r="DC46" s="73"/>
      <c r="DD46" s="73"/>
      <c r="DE46" s="73"/>
      <c r="DF46" s="73"/>
      <c r="DG46" s="73"/>
      <c r="DH46" s="73"/>
      <c r="DI46" s="73"/>
      <c r="DJ46" s="73"/>
      <c r="DK46" s="73"/>
      <c r="DL46" s="73"/>
      <c r="DM46" s="73"/>
      <c r="DN46" s="73"/>
      <c r="DO46" s="73"/>
      <c r="DP46" s="73"/>
      <c r="DQ46" s="73"/>
      <c r="DR46" s="73"/>
      <c r="DS46" s="73"/>
      <c r="DT46" s="73"/>
      <c r="DU46" s="73"/>
      <c r="DV46" s="73"/>
      <c r="DW46" s="73"/>
      <c r="DX46" s="73"/>
      <c r="DY46" s="73"/>
      <c r="DZ46" s="73"/>
      <c r="EA46" s="73"/>
      <c r="EB46" s="73"/>
      <c r="EC46" s="73"/>
      <c r="ED46" s="73"/>
      <c r="EE46" s="73"/>
      <c r="EF46" s="73"/>
      <c r="EG46" s="73"/>
      <c r="EH46" s="73"/>
      <c r="EI46" s="73"/>
      <c r="EJ46" s="73"/>
      <c r="EK46" s="73"/>
      <c r="EL46" s="73"/>
      <c r="EM46" s="73"/>
      <c r="EN46" s="73"/>
      <c r="EO46" s="73"/>
      <c r="EP46" s="73"/>
      <c r="EQ46" s="73"/>
      <c r="ER46" s="73"/>
      <c r="ES46" s="73"/>
      <c r="ET46" s="73"/>
      <c r="EU46" s="73"/>
      <c r="EV46" s="73"/>
      <c r="EW46" s="73"/>
      <c r="EX46" s="73"/>
      <c r="EY46" s="73"/>
      <c r="EZ46" s="73"/>
      <c r="FA46" s="73"/>
      <c r="FB46" s="73"/>
      <c r="FC46" s="73"/>
      <c r="FD46" s="73"/>
      <c r="FE46" s="73"/>
      <c r="FF46" s="73"/>
      <c r="FG46" s="73"/>
      <c r="FH46" s="73"/>
      <c r="FI46" s="73"/>
      <c r="FJ46" s="73"/>
      <c r="FK46" s="73"/>
      <c r="FL46" s="73"/>
      <c r="FM46" s="73"/>
      <c r="FN46" s="73"/>
      <c r="FO46" s="73"/>
      <c r="FP46" s="73"/>
      <c r="FQ46" s="73"/>
      <c r="FR46" s="73"/>
      <c r="FS46" s="73"/>
      <c r="FT46" s="73"/>
      <c r="FU46" s="73"/>
      <c r="FV46" s="73"/>
      <c r="FW46" s="73"/>
      <c r="FX46" s="73"/>
      <c r="FY46" s="73"/>
      <c r="FZ46" s="73"/>
      <c r="GA46" s="73"/>
      <c r="GB46" s="73"/>
      <c r="GC46" s="73"/>
      <c r="GD46" s="73"/>
      <c r="GE46" s="73"/>
      <c r="GF46" s="73"/>
      <c r="GG46" s="73"/>
      <c r="GH46" s="73"/>
      <c r="GI46" s="73"/>
      <c r="GJ46" s="73"/>
      <c r="GK46" s="73"/>
      <c r="GL46" s="73"/>
      <c r="GM46" s="73"/>
      <c r="GN46" s="73"/>
      <c r="GO46" s="73"/>
      <c r="GP46" s="73"/>
      <c r="GQ46" s="73"/>
      <c r="GR46" s="73"/>
      <c r="GS46" s="73"/>
      <c r="GT46" s="73"/>
      <c r="GU46" s="73"/>
      <c r="GV46" s="73"/>
      <c r="GW46" s="73"/>
      <c r="GX46" s="73"/>
      <c r="GY46" s="73"/>
      <c r="GZ46" s="73"/>
      <c r="HA46" s="73"/>
      <c r="HB46" s="73"/>
      <c r="HC46" s="73"/>
      <c r="HD46" s="73"/>
      <c r="HE46" s="73"/>
      <c r="HF46" s="73"/>
      <c r="HG46" s="73"/>
      <c r="HH46" s="73"/>
      <c r="HI46" s="73"/>
      <c r="HJ46" s="73"/>
      <c r="HK46" s="73"/>
      <c r="HL46" s="73"/>
      <c r="HM46" s="73"/>
      <c r="HN46" s="73"/>
      <c r="HO46" s="73"/>
      <c r="HP46" s="73"/>
      <c r="HQ46" s="73"/>
      <c r="HR46" s="73"/>
      <c r="HS46" s="73"/>
      <c r="HT46" s="73"/>
      <c r="HU46" s="73"/>
      <c r="HV46" s="73"/>
      <c r="HW46" s="73"/>
      <c r="HX46" s="73"/>
      <c r="HY46" s="73"/>
      <c r="HZ46" s="73"/>
      <c r="IA46" s="73"/>
      <c r="IB46" s="73"/>
      <c r="IC46" s="73"/>
      <c r="ID46" s="73"/>
      <c r="IE46" s="73"/>
      <c r="IF46" s="73"/>
      <c r="IG46" s="73"/>
      <c r="IH46" s="73"/>
      <c r="II46" s="73"/>
      <c r="IJ46" s="73"/>
      <c r="IK46" s="73"/>
      <c r="IL46" s="73"/>
      <c r="IM46" s="73"/>
      <c r="IN46" s="73"/>
      <c r="IO46" s="73"/>
      <c r="IP46" s="73"/>
      <c r="IQ46" s="73"/>
      <c r="IR46" s="73"/>
      <c r="IS46" s="73"/>
      <c r="IT46" s="73"/>
      <c r="IU46" s="73"/>
      <c r="IV46" s="73"/>
      <c r="IW46" s="73"/>
      <c r="IX46" s="73"/>
    </row>
    <row r="47" spans="1:258" s="89" customFormat="1" ht="29.25" customHeight="1" x14ac:dyDescent="0.5">
      <c r="A47">
        <f t="shared" si="5"/>
        <v>44</v>
      </c>
      <c r="B47" s="75" t="s">
        <v>204</v>
      </c>
      <c r="C47" s="75" t="s">
        <v>157</v>
      </c>
      <c r="D47" s="76">
        <f t="shared" si="7"/>
        <v>46054</v>
      </c>
      <c r="E47" s="77">
        <v>6</v>
      </c>
      <c r="F47" s="77">
        <v>7</v>
      </c>
      <c r="G47" s="75">
        <f t="shared" si="10"/>
        <v>1</v>
      </c>
      <c r="H47" s="75">
        <v>150</v>
      </c>
      <c r="I47" s="74">
        <f t="shared" si="1"/>
        <v>150</v>
      </c>
      <c r="J47" s="75"/>
      <c r="K47" s="74">
        <f t="shared" si="11"/>
        <v>150</v>
      </c>
      <c r="L47" s="74">
        <v>0</v>
      </c>
      <c r="M47" s="74"/>
      <c r="N47" s="74">
        <v>10000</v>
      </c>
      <c r="O47" s="78">
        <v>968</v>
      </c>
      <c r="P47" s="74"/>
      <c r="Q47" s="74"/>
      <c r="R47" s="74"/>
      <c r="S47" s="74"/>
      <c r="T47" s="74"/>
      <c r="U47" s="74"/>
      <c r="V47" s="74"/>
      <c r="W47" s="75"/>
      <c r="X47" s="93"/>
      <c r="Y47" s="74"/>
      <c r="Z47" s="79"/>
      <c r="AA47" s="75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3"/>
      <c r="CU47" s="73"/>
      <c r="CV47" s="73"/>
      <c r="CW47" s="73"/>
      <c r="CX47" s="73"/>
      <c r="CY47" s="73"/>
      <c r="CZ47" s="73"/>
      <c r="DA47" s="73"/>
      <c r="DB47" s="73"/>
      <c r="DC47" s="73"/>
      <c r="DD47" s="73"/>
      <c r="DE47" s="73"/>
      <c r="DF47" s="73"/>
      <c r="DG47" s="73"/>
      <c r="DH47" s="73"/>
      <c r="DI47" s="73"/>
      <c r="DJ47" s="73"/>
      <c r="DK47" s="73"/>
      <c r="DL47" s="73"/>
      <c r="DM47" s="73"/>
      <c r="DN47" s="73"/>
      <c r="DO47" s="73"/>
      <c r="DP47" s="73"/>
      <c r="DQ47" s="73"/>
      <c r="DR47" s="73"/>
      <c r="DS47" s="73"/>
      <c r="DT47" s="73"/>
      <c r="DU47" s="73"/>
      <c r="DV47" s="73"/>
      <c r="DW47" s="73"/>
      <c r="DX47" s="73"/>
      <c r="DY47" s="73"/>
      <c r="DZ47" s="73"/>
      <c r="EA47" s="73"/>
      <c r="EB47" s="73"/>
      <c r="EC47" s="73"/>
      <c r="ED47" s="73"/>
      <c r="EE47" s="73"/>
      <c r="EF47" s="73"/>
      <c r="EG47" s="73"/>
      <c r="EH47" s="73"/>
      <c r="EI47" s="73"/>
      <c r="EJ47" s="73"/>
      <c r="EK47" s="73"/>
      <c r="EL47" s="73"/>
      <c r="EM47" s="73"/>
      <c r="EN47" s="73"/>
      <c r="EO47" s="73"/>
      <c r="EP47" s="73"/>
      <c r="EQ47" s="73"/>
      <c r="ER47" s="73"/>
      <c r="ES47" s="73"/>
      <c r="ET47" s="73"/>
      <c r="EU47" s="73"/>
      <c r="EV47" s="73"/>
      <c r="EW47" s="73"/>
      <c r="EX47" s="73"/>
      <c r="EY47" s="73"/>
      <c r="EZ47" s="73"/>
      <c r="FA47" s="73"/>
      <c r="FB47" s="73"/>
      <c r="FC47" s="73"/>
      <c r="FD47" s="73"/>
      <c r="FE47" s="73"/>
      <c r="FF47" s="73"/>
      <c r="FG47" s="73"/>
      <c r="FH47" s="73"/>
      <c r="FI47" s="73"/>
      <c r="FJ47" s="73"/>
      <c r="FK47" s="73"/>
      <c r="FL47" s="73"/>
      <c r="FM47" s="73"/>
      <c r="FN47" s="73"/>
      <c r="FO47" s="73"/>
      <c r="FP47" s="73"/>
      <c r="FQ47" s="73"/>
      <c r="FR47" s="73"/>
      <c r="FS47" s="73"/>
      <c r="FT47" s="73"/>
      <c r="FU47" s="73"/>
      <c r="FV47" s="73"/>
      <c r="FW47" s="73"/>
      <c r="FX47" s="73"/>
      <c r="FY47" s="73"/>
      <c r="FZ47" s="73"/>
      <c r="GA47" s="73"/>
      <c r="GB47" s="73"/>
      <c r="GC47" s="73"/>
      <c r="GD47" s="73"/>
      <c r="GE47" s="73"/>
      <c r="GF47" s="73"/>
      <c r="GG47" s="73"/>
      <c r="GH47" s="73"/>
      <c r="GI47" s="73"/>
      <c r="GJ47" s="73"/>
      <c r="GK47" s="73"/>
      <c r="GL47" s="73"/>
      <c r="GM47" s="73"/>
      <c r="GN47" s="73"/>
      <c r="GO47" s="73"/>
      <c r="GP47" s="73"/>
      <c r="GQ47" s="73"/>
      <c r="GR47" s="73"/>
      <c r="GS47" s="73"/>
      <c r="GT47" s="73"/>
      <c r="GU47" s="73"/>
      <c r="GV47" s="73"/>
      <c r="GW47" s="73"/>
      <c r="GX47" s="73"/>
      <c r="GY47" s="73"/>
      <c r="GZ47" s="73"/>
      <c r="HA47" s="73"/>
      <c r="HB47" s="73"/>
      <c r="HC47" s="73"/>
      <c r="HD47" s="73"/>
      <c r="HE47" s="73"/>
      <c r="HF47" s="73"/>
      <c r="HG47" s="73"/>
      <c r="HH47" s="73"/>
      <c r="HI47" s="73"/>
      <c r="HJ47" s="73"/>
      <c r="HK47" s="73"/>
      <c r="HL47" s="73"/>
      <c r="HM47" s="73"/>
      <c r="HN47" s="73"/>
      <c r="HO47" s="73"/>
      <c r="HP47" s="73"/>
      <c r="HQ47" s="73"/>
      <c r="HR47" s="73"/>
      <c r="HS47" s="73"/>
      <c r="HT47" s="73"/>
      <c r="HU47" s="73"/>
      <c r="HV47" s="73"/>
      <c r="HW47" s="73"/>
      <c r="HX47" s="73"/>
      <c r="HY47" s="73"/>
      <c r="HZ47" s="73"/>
      <c r="IA47" s="73"/>
      <c r="IB47" s="73"/>
      <c r="IC47" s="73"/>
      <c r="ID47" s="73"/>
      <c r="IE47" s="73"/>
      <c r="IF47" s="73"/>
      <c r="IG47" s="73"/>
      <c r="IH47" s="73"/>
      <c r="II47" s="73"/>
      <c r="IJ47" s="73"/>
      <c r="IK47" s="73"/>
      <c r="IL47" s="73"/>
      <c r="IM47" s="73"/>
      <c r="IN47" s="73"/>
      <c r="IO47" s="73"/>
      <c r="IP47" s="73"/>
      <c r="IQ47" s="73"/>
      <c r="IR47" s="73"/>
      <c r="IS47" s="73"/>
      <c r="IT47" s="73"/>
      <c r="IU47" s="73"/>
      <c r="IV47" s="73"/>
      <c r="IW47" s="73"/>
      <c r="IX47" s="73"/>
    </row>
    <row r="48" spans="1:258" s="89" customFormat="1" ht="29.25" customHeight="1" x14ac:dyDescent="0.5">
      <c r="A48">
        <f t="shared" si="5"/>
        <v>45</v>
      </c>
      <c r="B48" s="121" t="s">
        <v>205</v>
      </c>
      <c r="C48" s="75" t="s">
        <v>158</v>
      </c>
      <c r="D48" s="76">
        <f t="shared" si="7"/>
        <v>46054</v>
      </c>
      <c r="E48" s="77">
        <v>21</v>
      </c>
      <c r="F48" s="77">
        <v>21</v>
      </c>
      <c r="G48" s="75">
        <f t="shared" si="10"/>
        <v>0</v>
      </c>
      <c r="H48" s="75">
        <v>150</v>
      </c>
      <c r="I48" s="74">
        <f t="shared" si="1"/>
        <v>0</v>
      </c>
      <c r="J48" s="75"/>
      <c r="K48" s="74">
        <f t="shared" si="11"/>
        <v>0</v>
      </c>
      <c r="L48" s="74">
        <v>0</v>
      </c>
      <c r="M48" s="74"/>
      <c r="N48" s="74">
        <v>8000</v>
      </c>
      <c r="O48" s="78">
        <v>774</v>
      </c>
      <c r="P48" s="74"/>
      <c r="Q48" s="74"/>
      <c r="R48" s="74"/>
      <c r="S48" s="74"/>
      <c r="T48" s="74"/>
      <c r="U48" s="74"/>
      <c r="V48" s="74"/>
      <c r="W48" s="75"/>
      <c r="X48" s="93"/>
      <c r="Y48" s="74"/>
      <c r="Z48" s="79"/>
      <c r="AA48" s="75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  <c r="DT48" s="73"/>
      <c r="DU48" s="73"/>
      <c r="DV48" s="73"/>
      <c r="DW48" s="73"/>
      <c r="DX48" s="73"/>
      <c r="DY48" s="73"/>
      <c r="DZ48" s="73"/>
      <c r="EA48" s="73"/>
      <c r="EB48" s="73"/>
      <c r="EC48" s="73"/>
      <c r="ED48" s="73"/>
      <c r="EE48" s="73"/>
      <c r="EF48" s="73"/>
      <c r="EG48" s="73"/>
      <c r="EH48" s="73"/>
      <c r="EI48" s="73"/>
      <c r="EJ48" s="73"/>
      <c r="EK48" s="73"/>
      <c r="EL48" s="73"/>
      <c r="EM48" s="73"/>
      <c r="EN48" s="73"/>
      <c r="EO48" s="73"/>
      <c r="EP48" s="73"/>
      <c r="EQ48" s="73"/>
      <c r="ER48" s="73"/>
      <c r="ES48" s="73"/>
      <c r="ET48" s="73"/>
      <c r="EU48" s="73"/>
      <c r="EV48" s="73"/>
      <c r="EW48" s="73"/>
      <c r="EX48" s="73"/>
      <c r="EY48" s="73"/>
      <c r="EZ48" s="73"/>
      <c r="FA48" s="73"/>
      <c r="FB48" s="73"/>
      <c r="FC48" s="73"/>
      <c r="FD48" s="73"/>
      <c r="FE48" s="73"/>
      <c r="FF48" s="73"/>
      <c r="FG48" s="73"/>
      <c r="FH48" s="73"/>
      <c r="FI48" s="73"/>
      <c r="FJ48" s="73"/>
      <c r="FK48" s="73"/>
      <c r="FL48" s="73"/>
      <c r="FM48" s="73"/>
      <c r="FN48" s="73"/>
      <c r="FO48" s="73"/>
      <c r="FP48" s="73"/>
      <c r="FQ48" s="73"/>
      <c r="FR48" s="73"/>
      <c r="FS48" s="73"/>
      <c r="FT48" s="73"/>
      <c r="FU48" s="73"/>
      <c r="FV48" s="73"/>
      <c r="FW48" s="73"/>
      <c r="FX48" s="73"/>
      <c r="FY48" s="73"/>
      <c r="FZ48" s="73"/>
      <c r="GA48" s="73"/>
      <c r="GB48" s="73"/>
      <c r="GC48" s="73"/>
      <c r="GD48" s="73"/>
      <c r="GE48" s="73"/>
      <c r="GF48" s="73"/>
      <c r="GG48" s="73"/>
      <c r="GH48" s="73"/>
      <c r="GI48" s="73"/>
      <c r="GJ48" s="73"/>
      <c r="GK48" s="73"/>
      <c r="GL48" s="73"/>
      <c r="GM48" s="73"/>
      <c r="GN48" s="73"/>
      <c r="GO48" s="73"/>
      <c r="GP48" s="73"/>
      <c r="GQ48" s="73"/>
      <c r="GR48" s="73"/>
      <c r="GS48" s="73"/>
      <c r="GT48" s="73"/>
      <c r="GU48" s="73"/>
      <c r="GV48" s="73"/>
      <c r="GW48" s="73"/>
      <c r="GX48" s="73"/>
      <c r="GY48" s="73"/>
      <c r="GZ48" s="73"/>
      <c r="HA48" s="73"/>
      <c r="HB48" s="73"/>
      <c r="HC48" s="73"/>
      <c r="HD48" s="73"/>
      <c r="HE48" s="73"/>
      <c r="HF48" s="73"/>
      <c r="HG48" s="73"/>
      <c r="HH48" s="73"/>
      <c r="HI48" s="73"/>
      <c r="HJ48" s="73"/>
      <c r="HK48" s="73"/>
      <c r="HL48" s="73"/>
      <c r="HM48" s="73"/>
      <c r="HN48" s="73"/>
      <c r="HO48" s="73"/>
      <c r="HP48" s="73"/>
      <c r="HQ48" s="73"/>
      <c r="HR48" s="73"/>
      <c r="HS48" s="73"/>
      <c r="HT48" s="73"/>
      <c r="HU48" s="73"/>
      <c r="HV48" s="73"/>
      <c r="HW48" s="73"/>
      <c r="HX48" s="73"/>
      <c r="HY48" s="73"/>
      <c r="HZ48" s="73"/>
      <c r="IA48" s="73"/>
      <c r="IB48" s="73"/>
      <c r="IC48" s="73"/>
      <c r="ID48" s="73"/>
      <c r="IE48" s="73"/>
      <c r="IF48" s="73"/>
      <c r="IG48" s="73"/>
      <c r="IH48" s="73"/>
      <c r="II48" s="73"/>
      <c r="IJ48" s="73"/>
      <c r="IK48" s="73"/>
      <c r="IL48" s="73"/>
      <c r="IM48" s="73"/>
      <c r="IN48" s="73"/>
      <c r="IO48" s="73"/>
      <c r="IP48" s="73"/>
      <c r="IQ48" s="73"/>
      <c r="IR48" s="73"/>
      <c r="IS48" s="73"/>
      <c r="IT48" s="73"/>
      <c r="IU48" s="73"/>
      <c r="IV48" s="73"/>
      <c r="IW48" s="73"/>
      <c r="IX48" s="73"/>
    </row>
    <row r="49" spans="1:258" s="89" customFormat="1" ht="29.25" customHeight="1" x14ac:dyDescent="0.5">
      <c r="A49">
        <f t="shared" si="5"/>
        <v>46</v>
      </c>
      <c r="B49" s="75" t="s">
        <v>206</v>
      </c>
      <c r="C49" s="75" t="s">
        <v>159</v>
      </c>
      <c r="D49" s="76">
        <f t="shared" si="7"/>
        <v>46054</v>
      </c>
      <c r="E49" s="77">
        <v>22</v>
      </c>
      <c r="F49" s="77">
        <v>23</v>
      </c>
      <c r="G49" s="75">
        <f t="shared" si="10"/>
        <v>1</v>
      </c>
      <c r="H49" s="75">
        <v>150</v>
      </c>
      <c r="I49" s="74">
        <f t="shared" si="1"/>
        <v>150</v>
      </c>
      <c r="J49" s="75"/>
      <c r="K49" s="74">
        <f t="shared" si="11"/>
        <v>150</v>
      </c>
      <c r="L49" s="74">
        <v>0</v>
      </c>
      <c r="M49" s="74"/>
      <c r="N49" s="74">
        <v>8000</v>
      </c>
      <c r="O49" s="78"/>
      <c r="P49" s="74"/>
      <c r="Q49" s="74"/>
      <c r="R49" s="74"/>
      <c r="S49" s="74"/>
      <c r="T49" s="74"/>
      <c r="U49" s="74"/>
      <c r="V49" s="74"/>
      <c r="W49" s="75"/>
      <c r="X49" s="93"/>
      <c r="Y49" s="74"/>
      <c r="Z49" s="79"/>
      <c r="AA49" s="75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  <c r="DG49" s="73"/>
      <c r="DH49" s="73"/>
      <c r="DI49" s="73"/>
      <c r="DJ49" s="73"/>
      <c r="DK49" s="73"/>
      <c r="DL49" s="73"/>
      <c r="DM49" s="73"/>
      <c r="DN49" s="73"/>
      <c r="DO49" s="73"/>
      <c r="DP49" s="73"/>
      <c r="DQ49" s="73"/>
      <c r="DR49" s="73"/>
      <c r="DS49" s="73"/>
      <c r="DT49" s="73"/>
      <c r="DU49" s="73"/>
      <c r="DV49" s="73"/>
      <c r="DW49" s="73"/>
      <c r="DX49" s="73"/>
      <c r="DY49" s="73"/>
      <c r="DZ49" s="73"/>
      <c r="EA49" s="73"/>
      <c r="EB49" s="73"/>
      <c r="EC49" s="73"/>
      <c r="ED49" s="73"/>
      <c r="EE49" s="73"/>
      <c r="EF49" s="73"/>
      <c r="EG49" s="73"/>
      <c r="EH49" s="73"/>
      <c r="EI49" s="73"/>
      <c r="EJ49" s="73"/>
      <c r="EK49" s="73"/>
      <c r="EL49" s="73"/>
      <c r="EM49" s="73"/>
      <c r="EN49" s="73"/>
      <c r="EO49" s="73"/>
      <c r="EP49" s="73"/>
      <c r="EQ49" s="73"/>
      <c r="ER49" s="73"/>
      <c r="ES49" s="73"/>
      <c r="ET49" s="73"/>
      <c r="EU49" s="73"/>
      <c r="EV49" s="73"/>
      <c r="EW49" s="73"/>
      <c r="EX49" s="73"/>
      <c r="EY49" s="73"/>
      <c r="EZ49" s="73"/>
      <c r="FA49" s="73"/>
      <c r="FB49" s="73"/>
      <c r="FC49" s="73"/>
      <c r="FD49" s="73"/>
      <c r="FE49" s="73"/>
      <c r="FF49" s="73"/>
      <c r="FG49" s="73"/>
      <c r="FH49" s="73"/>
      <c r="FI49" s="73"/>
      <c r="FJ49" s="73"/>
      <c r="FK49" s="73"/>
      <c r="FL49" s="73"/>
      <c r="FM49" s="73"/>
      <c r="FN49" s="73"/>
      <c r="FO49" s="73"/>
      <c r="FP49" s="73"/>
      <c r="FQ49" s="73"/>
      <c r="FR49" s="73"/>
      <c r="FS49" s="73"/>
      <c r="FT49" s="73"/>
      <c r="FU49" s="73"/>
      <c r="FV49" s="73"/>
      <c r="FW49" s="73"/>
      <c r="FX49" s="73"/>
      <c r="FY49" s="73"/>
      <c r="FZ49" s="73"/>
      <c r="GA49" s="73"/>
      <c r="GB49" s="73"/>
      <c r="GC49" s="73"/>
      <c r="GD49" s="73"/>
      <c r="GE49" s="73"/>
      <c r="GF49" s="73"/>
      <c r="GG49" s="73"/>
      <c r="GH49" s="73"/>
      <c r="GI49" s="73"/>
      <c r="GJ49" s="73"/>
      <c r="GK49" s="73"/>
      <c r="GL49" s="73"/>
      <c r="GM49" s="73"/>
      <c r="GN49" s="73"/>
      <c r="GO49" s="73"/>
      <c r="GP49" s="73"/>
      <c r="GQ49" s="73"/>
      <c r="GR49" s="73"/>
      <c r="GS49" s="73"/>
      <c r="GT49" s="73"/>
      <c r="GU49" s="73"/>
      <c r="GV49" s="73"/>
      <c r="GW49" s="73"/>
      <c r="GX49" s="73"/>
      <c r="GY49" s="73"/>
      <c r="GZ49" s="73"/>
      <c r="HA49" s="73"/>
      <c r="HB49" s="73"/>
      <c r="HC49" s="73"/>
      <c r="HD49" s="73"/>
      <c r="HE49" s="73"/>
      <c r="HF49" s="73"/>
      <c r="HG49" s="73"/>
      <c r="HH49" s="73"/>
      <c r="HI49" s="73"/>
      <c r="HJ49" s="73"/>
      <c r="HK49" s="73"/>
      <c r="HL49" s="73"/>
      <c r="HM49" s="73"/>
      <c r="HN49" s="73"/>
      <c r="HO49" s="73"/>
      <c r="HP49" s="73"/>
      <c r="HQ49" s="73"/>
      <c r="HR49" s="73"/>
      <c r="HS49" s="73"/>
      <c r="HT49" s="73"/>
      <c r="HU49" s="73"/>
      <c r="HV49" s="73"/>
      <c r="HW49" s="73"/>
      <c r="HX49" s="73"/>
      <c r="HY49" s="73"/>
      <c r="HZ49" s="73"/>
      <c r="IA49" s="73"/>
      <c r="IB49" s="73"/>
      <c r="IC49" s="73"/>
      <c r="ID49" s="73"/>
      <c r="IE49" s="73"/>
      <c r="IF49" s="73"/>
      <c r="IG49" s="73"/>
      <c r="IH49" s="73"/>
      <c r="II49" s="73"/>
      <c r="IJ49" s="73"/>
      <c r="IK49" s="73"/>
      <c r="IL49" s="73"/>
      <c r="IM49" s="73"/>
      <c r="IN49" s="73"/>
      <c r="IO49" s="73"/>
      <c r="IP49" s="73"/>
      <c r="IQ49" s="73"/>
      <c r="IR49" s="73"/>
      <c r="IS49" s="73"/>
      <c r="IT49" s="73"/>
      <c r="IU49" s="73"/>
      <c r="IV49" s="73"/>
      <c r="IW49" s="73"/>
      <c r="IX49" s="73"/>
    </row>
    <row r="50" spans="1:258" s="89" customFormat="1" ht="29.25" customHeight="1" x14ac:dyDescent="0.5">
      <c r="A50">
        <f t="shared" si="5"/>
        <v>47</v>
      </c>
      <c r="B50" s="121" t="s">
        <v>207</v>
      </c>
      <c r="C50" s="75" t="s">
        <v>160</v>
      </c>
      <c r="D50" s="76">
        <f t="shared" si="7"/>
        <v>46054</v>
      </c>
      <c r="E50" s="77">
        <v>51</v>
      </c>
      <c r="F50" s="77">
        <v>52</v>
      </c>
      <c r="G50" s="75">
        <f t="shared" si="10"/>
        <v>1</v>
      </c>
      <c r="H50" s="75">
        <v>150</v>
      </c>
      <c r="I50" s="74">
        <f t="shared" si="1"/>
        <v>150</v>
      </c>
      <c r="J50" s="75"/>
      <c r="K50" s="74">
        <f t="shared" si="11"/>
        <v>150</v>
      </c>
      <c r="L50" s="74">
        <v>0</v>
      </c>
      <c r="M50" s="74"/>
      <c r="N50" s="74">
        <v>7500</v>
      </c>
      <c r="O50" s="78"/>
      <c r="P50" s="74"/>
      <c r="Q50" s="74"/>
      <c r="R50" s="74"/>
      <c r="S50" s="74"/>
      <c r="T50" s="74"/>
      <c r="U50" s="74"/>
      <c r="V50" s="74"/>
      <c r="W50" s="75"/>
      <c r="X50" s="93"/>
      <c r="Y50" s="74"/>
      <c r="Z50" s="79"/>
      <c r="AA50" s="75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  <c r="CW50" s="73"/>
      <c r="CX50" s="73"/>
      <c r="CY50" s="73"/>
      <c r="CZ50" s="73"/>
      <c r="DA50" s="73"/>
      <c r="DB50" s="73"/>
      <c r="DC50" s="73"/>
      <c r="DD50" s="73"/>
      <c r="DE50" s="73"/>
      <c r="DF50" s="73"/>
      <c r="DG50" s="73"/>
      <c r="DH50" s="73"/>
      <c r="DI50" s="73"/>
      <c r="DJ50" s="73"/>
      <c r="DK50" s="73"/>
      <c r="DL50" s="73"/>
      <c r="DM50" s="73"/>
      <c r="DN50" s="73"/>
      <c r="DO50" s="73"/>
      <c r="DP50" s="73"/>
      <c r="DQ50" s="73"/>
      <c r="DR50" s="73"/>
      <c r="DS50" s="73"/>
      <c r="DT50" s="73"/>
      <c r="DU50" s="73"/>
      <c r="DV50" s="73"/>
      <c r="DW50" s="73"/>
      <c r="DX50" s="73"/>
      <c r="DY50" s="73"/>
      <c r="DZ50" s="73"/>
      <c r="EA50" s="73"/>
      <c r="EB50" s="73"/>
      <c r="EC50" s="73"/>
      <c r="ED50" s="73"/>
      <c r="EE50" s="73"/>
      <c r="EF50" s="73"/>
      <c r="EG50" s="73"/>
      <c r="EH50" s="73"/>
      <c r="EI50" s="73"/>
      <c r="EJ50" s="73"/>
      <c r="EK50" s="73"/>
      <c r="EL50" s="73"/>
      <c r="EM50" s="73"/>
      <c r="EN50" s="73"/>
      <c r="EO50" s="73"/>
      <c r="EP50" s="73"/>
      <c r="EQ50" s="73"/>
      <c r="ER50" s="73"/>
      <c r="ES50" s="73"/>
      <c r="ET50" s="73"/>
      <c r="EU50" s="73"/>
      <c r="EV50" s="73"/>
      <c r="EW50" s="73"/>
      <c r="EX50" s="73"/>
      <c r="EY50" s="73"/>
      <c r="EZ50" s="73"/>
      <c r="FA50" s="73"/>
      <c r="FB50" s="73"/>
      <c r="FC50" s="73"/>
      <c r="FD50" s="73"/>
      <c r="FE50" s="73"/>
      <c r="FF50" s="73"/>
      <c r="FG50" s="73"/>
      <c r="FH50" s="73"/>
      <c r="FI50" s="73"/>
      <c r="FJ50" s="73"/>
      <c r="FK50" s="73"/>
      <c r="FL50" s="73"/>
      <c r="FM50" s="73"/>
      <c r="FN50" s="73"/>
      <c r="FO50" s="73"/>
      <c r="FP50" s="73"/>
      <c r="FQ50" s="73"/>
      <c r="FR50" s="73"/>
      <c r="FS50" s="73"/>
      <c r="FT50" s="73"/>
      <c r="FU50" s="73"/>
      <c r="FV50" s="73"/>
      <c r="FW50" s="73"/>
      <c r="FX50" s="73"/>
      <c r="FY50" s="73"/>
      <c r="FZ50" s="73"/>
      <c r="GA50" s="73"/>
      <c r="GB50" s="73"/>
      <c r="GC50" s="73"/>
      <c r="GD50" s="73"/>
      <c r="GE50" s="73"/>
      <c r="GF50" s="73"/>
      <c r="GG50" s="73"/>
      <c r="GH50" s="73"/>
      <c r="GI50" s="73"/>
      <c r="GJ50" s="73"/>
      <c r="GK50" s="73"/>
      <c r="GL50" s="73"/>
      <c r="GM50" s="73"/>
      <c r="GN50" s="73"/>
      <c r="GO50" s="73"/>
      <c r="GP50" s="73"/>
      <c r="GQ50" s="73"/>
      <c r="GR50" s="73"/>
      <c r="GS50" s="73"/>
      <c r="GT50" s="73"/>
      <c r="GU50" s="73"/>
      <c r="GV50" s="73"/>
      <c r="GW50" s="73"/>
      <c r="GX50" s="73"/>
      <c r="GY50" s="73"/>
      <c r="GZ50" s="73"/>
      <c r="HA50" s="73"/>
      <c r="HB50" s="73"/>
      <c r="HC50" s="73"/>
      <c r="HD50" s="73"/>
      <c r="HE50" s="73"/>
      <c r="HF50" s="73"/>
      <c r="HG50" s="73"/>
      <c r="HH50" s="73"/>
      <c r="HI50" s="73"/>
      <c r="HJ50" s="73"/>
      <c r="HK50" s="73"/>
      <c r="HL50" s="73"/>
      <c r="HM50" s="73"/>
      <c r="HN50" s="73"/>
      <c r="HO50" s="73"/>
      <c r="HP50" s="73"/>
      <c r="HQ50" s="73"/>
      <c r="HR50" s="73"/>
      <c r="HS50" s="73"/>
      <c r="HT50" s="73"/>
      <c r="HU50" s="73"/>
      <c r="HV50" s="73"/>
      <c r="HW50" s="73"/>
      <c r="HX50" s="73"/>
      <c r="HY50" s="73"/>
      <c r="HZ50" s="73"/>
      <c r="IA50" s="73"/>
      <c r="IB50" s="73"/>
      <c r="IC50" s="73"/>
      <c r="ID50" s="73"/>
      <c r="IE50" s="73"/>
      <c r="IF50" s="73"/>
      <c r="IG50" s="73"/>
      <c r="IH50" s="73"/>
      <c r="II50" s="73"/>
      <c r="IJ50" s="73"/>
      <c r="IK50" s="73"/>
      <c r="IL50" s="73"/>
      <c r="IM50" s="73"/>
      <c r="IN50" s="73"/>
      <c r="IO50" s="73"/>
      <c r="IP50" s="73"/>
      <c r="IQ50" s="73"/>
      <c r="IR50" s="73"/>
      <c r="IS50" s="73"/>
      <c r="IT50" s="73"/>
      <c r="IU50" s="73"/>
      <c r="IV50" s="73"/>
      <c r="IW50" s="73"/>
      <c r="IX50" s="73"/>
    </row>
    <row r="51" spans="1:258" s="89" customFormat="1" ht="29.25" customHeight="1" x14ac:dyDescent="0.5">
      <c r="A51">
        <f t="shared" si="5"/>
        <v>48</v>
      </c>
      <c r="B51" s="121" t="s">
        <v>184</v>
      </c>
      <c r="C51" s="75" t="s">
        <v>161</v>
      </c>
      <c r="D51" s="76">
        <f t="shared" si="7"/>
        <v>46054</v>
      </c>
      <c r="E51" s="77">
        <v>19</v>
      </c>
      <c r="F51" s="77">
        <v>19</v>
      </c>
      <c r="G51" s="75">
        <f t="shared" si="10"/>
        <v>0</v>
      </c>
      <c r="H51" s="75">
        <v>150</v>
      </c>
      <c r="I51" s="74">
        <f t="shared" si="1"/>
        <v>0</v>
      </c>
      <c r="J51" s="75"/>
      <c r="K51" s="74">
        <f t="shared" si="11"/>
        <v>0</v>
      </c>
      <c r="L51" s="74">
        <v>0</v>
      </c>
      <c r="M51" s="74"/>
      <c r="N51" s="74">
        <v>8000</v>
      </c>
      <c r="O51" s="78"/>
      <c r="P51" s="74"/>
      <c r="Q51" s="74"/>
      <c r="R51" s="74"/>
      <c r="S51" s="74"/>
      <c r="T51" s="74"/>
      <c r="U51" s="74"/>
      <c r="V51" s="74"/>
      <c r="W51" s="75"/>
      <c r="X51" s="93"/>
      <c r="Y51" s="74"/>
      <c r="Z51" s="79"/>
      <c r="AA51" s="75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/>
      <c r="CV51" s="73"/>
      <c r="CW51" s="73"/>
      <c r="CX51" s="73"/>
      <c r="CY51" s="73"/>
      <c r="CZ51" s="73"/>
      <c r="DA51" s="73"/>
      <c r="DB51" s="73"/>
      <c r="DC51" s="73"/>
      <c r="DD51" s="73"/>
      <c r="DE51" s="73"/>
      <c r="DF51" s="73"/>
      <c r="DG51" s="73"/>
      <c r="DH51" s="73"/>
      <c r="DI51" s="73"/>
      <c r="DJ51" s="73"/>
      <c r="DK51" s="73"/>
      <c r="DL51" s="73"/>
      <c r="DM51" s="73"/>
      <c r="DN51" s="73"/>
      <c r="DO51" s="73"/>
      <c r="DP51" s="73"/>
      <c r="DQ51" s="73"/>
      <c r="DR51" s="73"/>
      <c r="DS51" s="73"/>
      <c r="DT51" s="73"/>
      <c r="DU51" s="73"/>
      <c r="DV51" s="73"/>
      <c r="DW51" s="73"/>
      <c r="DX51" s="73"/>
      <c r="DY51" s="73"/>
      <c r="DZ51" s="73"/>
      <c r="EA51" s="73"/>
      <c r="EB51" s="73"/>
      <c r="EC51" s="73"/>
      <c r="ED51" s="73"/>
      <c r="EE51" s="73"/>
      <c r="EF51" s="73"/>
      <c r="EG51" s="73"/>
      <c r="EH51" s="73"/>
      <c r="EI51" s="73"/>
      <c r="EJ51" s="73"/>
      <c r="EK51" s="73"/>
      <c r="EL51" s="73"/>
      <c r="EM51" s="73"/>
      <c r="EN51" s="73"/>
      <c r="EO51" s="73"/>
      <c r="EP51" s="73"/>
      <c r="EQ51" s="73"/>
      <c r="ER51" s="73"/>
      <c r="ES51" s="73"/>
      <c r="ET51" s="73"/>
      <c r="EU51" s="73"/>
      <c r="EV51" s="73"/>
      <c r="EW51" s="73"/>
      <c r="EX51" s="73"/>
      <c r="EY51" s="73"/>
      <c r="EZ51" s="73"/>
      <c r="FA51" s="73"/>
      <c r="FB51" s="73"/>
      <c r="FC51" s="73"/>
      <c r="FD51" s="73"/>
      <c r="FE51" s="73"/>
      <c r="FF51" s="73"/>
      <c r="FG51" s="73"/>
      <c r="FH51" s="73"/>
      <c r="FI51" s="73"/>
      <c r="FJ51" s="73"/>
      <c r="FK51" s="73"/>
      <c r="FL51" s="73"/>
      <c r="FM51" s="73"/>
      <c r="FN51" s="73"/>
      <c r="FO51" s="73"/>
      <c r="FP51" s="73"/>
      <c r="FQ51" s="73"/>
      <c r="FR51" s="73"/>
      <c r="FS51" s="73"/>
      <c r="FT51" s="73"/>
      <c r="FU51" s="73"/>
      <c r="FV51" s="73"/>
      <c r="FW51" s="73"/>
      <c r="FX51" s="73"/>
      <c r="FY51" s="73"/>
      <c r="FZ51" s="73"/>
      <c r="GA51" s="73"/>
      <c r="GB51" s="73"/>
      <c r="GC51" s="73"/>
      <c r="GD51" s="73"/>
      <c r="GE51" s="73"/>
      <c r="GF51" s="73"/>
      <c r="GG51" s="73"/>
      <c r="GH51" s="73"/>
      <c r="GI51" s="73"/>
      <c r="GJ51" s="73"/>
      <c r="GK51" s="73"/>
      <c r="GL51" s="73"/>
      <c r="GM51" s="73"/>
      <c r="GN51" s="73"/>
      <c r="GO51" s="73"/>
      <c r="GP51" s="73"/>
      <c r="GQ51" s="73"/>
      <c r="GR51" s="73"/>
      <c r="GS51" s="73"/>
      <c r="GT51" s="73"/>
      <c r="GU51" s="73"/>
      <c r="GV51" s="73"/>
      <c r="GW51" s="73"/>
      <c r="GX51" s="73"/>
      <c r="GY51" s="73"/>
      <c r="GZ51" s="73"/>
      <c r="HA51" s="73"/>
      <c r="HB51" s="73"/>
      <c r="HC51" s="73"/>
      <c r="HD51" s="73"/>
      <c r="HE51" s="73"/>
      <c r="HF51" s="73"/>
      <c r="HG51" s="73"/>
      <c r="HH51" s="73"/>
      <c r="HI51" s="73"/>
      <c r="HJ51" s="73"/>
      <c r="HK51" s="73"/>
      <c r="HL51" s="73"/>
      <c r="HM51" s="73"/>
      <c r="HN51" s="73"/>
      <c r="HO51" s="73"/>
      <c r="HP51" s="73"/>
      <c r="HQ51" s="73"/>
      <c r="HR51" s="73"/>
      <c r="HS51" s="73"/>
      <c r="HT51" s="73"/>
      <c r="HU51" s="73"/>
      <c r="HV51" s="73"/>
      <c r="HW51" s="73"/>
      <c r="HX51" s="73"/>
      <c r="HY51" s="73"/>
      <c r="HZ51" s="73"/>
      <c r="IA51" s="73"/>
      <c r="IB51" s="73"/>
      <c r="IC51" s="73"/>
      <c r="ID51" s="73"/>
      <c r="IE51" s="73"/>
      <c r="IF51" s="73"/>
      <c r="IG51" s="73"/>
      <c r="IH51" s="73"/>
      <c r="II51" s="73"/>
      <c r="IJ51" s="73"/>
      <c r="IK51" s="73"/>
      <c r="IL51" s="73"/>
      <c r="IM51" s="73"/>
      <c r="IN51" s="73"/>
      <c r="IO51" s="73"/>
      <c r="IP51" s="73"/>
      <c r="IQ51" s="73"/>
      <c r="IR51" s="73"/>
      <c r="IS51" s="73"/>
      <c r="IT51" s="73"/>
      <c r="IU51" s="73"/>
      <c r="IV51" s="73"/>
      <c r="IW51" s="73"/>
      <c r="IX51" s="73"/>
    </row>
    <row r="52" spans="1:258" s="89" customFormat="1" ht="29.25" customHeight="1" x14ac:dyDescent="0.5">
      <c r="A52">
        <f t="shared" si="5"/>
        <v>49</v>
      </c>
      <c r="B52" s="75" t="s">
        <v>208</v>
      </c>
      <c r="C52" s="75" t="s">
        <v>162</v>
      </c>
      <c r="D52" s="76">
        <f t="shared" si="7"/>
        <v>46054</v>
      </c>
      <c r="E52" s="77">
        <v>34</v>
      </c>
      <c r="F52" s="77">
        <v>36</v>
      </c>
      <c r="G52" s="75">
        <f t="shared" si="10"/>
        <v>2</v>
      </c>
      <c r="H52" s="75">
        <v>150</v>
      </c>
      <c r="I52" s="74">
        <f t="shared" si="1"/>
        <v>300</v>
      </c>
      <c r="J52" s="75"/>
      <c r="K52" s="74">
        <f t="shared" si="11"/>
        <v>300</v>
      </c>
      <c r="L52" s="74">
        <v>0</v>
      </c>
      <c r="M52" s="74"/>
      <c r="N52" s="74">
        <v>8000</v>
      </c>
      <c r="O52" s="78">
        <v>1064</v>
      </c>
      <c r="P52" s="74"/>
      <c r="Q52" s="74"/>
      <c r="R52" s="74"/>
      <c r="S52" s="74"/>
      <c r="T52" s="74"/>
      <c r="U52" s="74"/>
      <c r="V52" s="74"/>
      <c r="W52" s="75"/>
      <c r="X52" s="93"/>
      <c r="Y52" s="74"/>
      <c r="Z52" s="79"/>
      <c r="AA52" s="75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  <c r="CS52" s="73"/>
      <c r="CT52" s="73"/>
      <c r="CU52" s="73"/>
      <c r="CV52" s="73"/>
      <c r="CW52" s="73"/>
      <c r="CX52" s="73"/>
      <c r="CY52" s="73"/>
      <c r="CZ52" s="73"/>
      <c r="DA52" s="73"/>
      <c r="DB52" s="73"/>
      <c r="DC52" s="73"/>
      <c r="DD52" s="73"/>
      <c r="DE52" s="73"/>
      <c r="DF52" s="73"/>
      <c r="DG52" s="73"/>
      <c r="DH52" s="73"/>
      <c r="DI52" s="73"/>
      <c r="DJ52" s="73"/>
      <c r="DK52" s="73"/>
      <c r="DL52" s="73"/>
      <c r="DM52" s="73"/>
      <c r="DN52" s="73"/>
      <c r="DO52" s="73"/>
      <c r="DP52" s="73"/>
      <c r="DQ52" s="73"/>
      <c r="DR52" s="73"/>
      <c r="DS52" s="73"/>
      <c r="DT52" s="73"/>
      <c r="DU52" s="73"/>
      <c r="DV52" s="73"/>
      <c r="DW52" s="73"/>
      <c r="DX52" s="73"/>
      <c r="DY52" s="73"/>
      <c r="DZ52" s="73"/>
      <c r="EA52" s="73"/>
      <c r="EB52" s="73"/>
      <c r="EC52" s="73"/>
      <c r="ED52" s="73"/>
      <c r="EE52" s="73"/>
      <c r="EF52" s="73"/>
      <c r="EG52" s="73"/>
      <c r="EH52" s="73"/>
      <c r="EI52" s="73"/>
      <c r="EJ52" s="73"/>
      <c r="EK52" s="73"/>
      <c r="EL52" s="73"/>
      <c r="EM52" s="73"/>
      <c r="EN52" s="73"/>
      <c r="EO52" s="73"/>
      <c r="EP52" s="73"/>
      <c r="EQ52" s="73"/>
      <c r="ER52" s="73"/>
      <c r="ES52" s="73"/>
      <c r="ET52" s="73"/>
      <c r="EU52" s="73"/>
      <c r="EV52" s="73"/>
      <c r="EW52" s="73"/>
      <c r="EX52" s="73"/>
      <c r="EY52" s="73"/>
      <c r="EZ52" s="73"/>
      <c r="FA52" s="73"/>
      <c r="FB52" s="73"/>
      <c r="FC52" s="73"/>
      <c r="FD52" s="73"/>
      <c r="FE52" s="73"/>
      <c r="FF52" s="73"/>
      <c r="FG52" s="73"/>
      <c r="FH52" s="73"/>
      <c r="FI52" s="73"/>
      <c r="FJ52" s="73"/>
      <c r="FK52" s="73"/>
      <c r="FL52" s="73"/>
      <c r="FM52" s="73"/>
      <c r="FN52" s="73"/>
      <c r="FO52" s="73"/>
      <c r="FP52" s="73"/>
      <c r="FQ52" s="73"/>
      <c r="FR52" s="73"/>
      <c r="FS52" s="73"/>
      <c r="FT52" s="73"/>
      <c r="FU52" s="73"/>
      <c r="FV52" s="73"/>
      <c r="FW52" s="73"/>
      <c r="FX52" s="73"/>
      <c r="FY52" s="73"/>
      <c r="FZ52" s="73"/>
      <c r="GA52" s="73"/>
      <c r="GB52" s="73"/>
      <c r="GC52" s="73"/>
      <c r="GD52" s="73"/>
      <c r="GE52" s="73"/>
      <c r="GF52" s="73"/>
      <c r="GG52" s="73"/>
      <c r="GH52" s="73"/>
      <c r="GI52" s="73"/>
      <c r="GJ52" s="73"/>
      <c r="GK52" s="73"/>
      <c r="GL52" s="73"/>
      <c r="GM52" s="73"/>
      <c r="GN52" s="73"/>
      <c r="GO52" s="73"/>
      <c r="GP52" s="73"/>
      <c r="GQ52" s="73"/>
      <c r="GR52" s="73"/>
      <c r="GS52" s="73"/>
      <c r="GT52" s="73"/>
      <c r="GU52" s="73"/>
      <c r="GV52" s="73"/>
      <c r="GW52" s="73"/>
      <c r="GX52" s="73"/>
      <c r="GY52" s="73"/>
      <c r="GZ52" s="73"/>
      <c r="HA52" s="73"/>
      <c r="HB52" s="73"/>
      <c r="HC52" s="73"/>
      <c r="HD52" s="73"/>
      <c r="HE52" s="73"/>
      <c r="HF52" s="73"/>
      <c r="HG52" s="73"/>
      <c r="HH52" s="73"/>
      <c r="HI52" s="73"/>
      <c r="HJ52" s="73"/>
      <c r="HK52" s="73"/>
      <c r="HL52" s="73"/>
      <c r="HM52" s="73"/>
      <c r="HN52" s="73"/>
      <c r="HO52" s="73"/>
      <c r="HP52" s="73"/>
      <c r="HQ52" s="73"/>
      <c r="HR52" s="73"/>
      <c r="HS52" s="73"/>
      <c r="HT52" s="73"/>
      <c r="HU52" s="73"/>
      <c r="HV52" s="73"/>
      <c r="HW52" s="73"/>
      <c r="HX52" s="73"/>
      <c r="HY52" s="73"/>
      <c r="HZ52" s="73"/>
      <c r="IA52" s="73"/>
      <c r="IB52" s="73"/>
      <c r="IC52" s="73"/>
      <c r="ID52" s="73"/>
      <c r="IE52" s="73"/>
      <c r="IF52" s="73"/>
      <c r="IG52" s="73"/>
      <c r="IH52" s="73"/>
      <c r="II52" s="73"/>
      <c r="IJ52" s="73"/>
      <c r="IK52" s="73"/>
      <c r="IL52" s="73"/>
      <c r="IM52" s="73"/>
      <c r="IN52" s="73"/>
      <c r="IO52" s="73"/>
      <c r="IP52" s="73"/>
      <c r="IQ52" s="73"/>
      <c r="IR52" s="73"/>
      <c r="IS52" s="73"/>
      <c r="IT52" s="73"/>
      <c r="IU52" s="73"/>
      <c r="IV52" s="73"/>
      <c r="IW52" s="73"/>
      <c r="IX52" s="73"/>
    </row>
    <row r="53" spans="1:258" s="89" customFormat="1" ht="29.25" customHeight="1" x14ac:dyDescent="0.5">
      <c r="A53">
        <f t="shared" si="5"/>
        <v>50</v>
      </c>
      <c r="B53" s="121" t="s">
        <v>209</v>
      </c>
      <c r="C53" s="75" t="s">
        <v>163</v>
      </c>
      <c r="D53" s="76">
        <f t="shared" si="7"/>
        <v>46054</v>
      </c>
      <c r="E53" s="77">
        <v>15</v>
      </c>
      <c r="F53" s="77">
        <v>16</v>
      </c>
      <c r="G53" s="75">
        <f t="shared" si="10"/>
        <v>1</v>
      </c>
      <c r="H53" s="75">
        <v>150</v>
      </c>
      <c r="I53" s="74">
        <f t="shared" si="1"/>
        <v>150</v>
      </c>
      <c r="J53" s="75"/>
      <c r="K53" s="74"/>
      <c r="L53" s="74">
        <v>0</v>
      </c>
      <c r="M53" s="74"/>
      <c r="N53" s="74">
        <v>7500</v>
      </c>
      <c r="O53" s="78">
        <v>725</v>
      </c>
      <c r="P53" s="74"/>
      <c r="Q53" s="74"/>
      <c r="R53" s="74"/>
      <c r="S53" s="74"/>
      <c r="T53" s="74"/>
      <c r="U53" s="74"/>
      <c r="V53" s="74"/>
      <c r="W53" s="75"/>
      <c r="X53" s="93"/>
      <c r="Y53" s="74"/>
      <c r="Z53" s="79"/>
      <c r="AA53" s="75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3"/>
      <c r="CU53" s="73"/>
      <c r="CV53" s="73"/>
      <c r="CW53" s="73"/>
      <c r="CX53" s="73"/>
      <c r="CY53" s="73"/>
      <c r="CZ53" s="73"/>
      <c r="DA53" s="73"/>
      <c r="DB53" s="73"/>
      <c r="DC53" s="73"/>
      <c r="DD53" s="73"/>
      <c r="DE53" s="73"/>
      <c r="DF53" s="73"/>
      <c r="DG53" s="73"/>
      <c r="DH53" s="73"/>
      <c r="DI53" s="73"/>
      <c r="DJ53" s="73"/>
      <c r="DK53" s="73"/>
      <c r="DL53" s="73"/>
      <c r="DM53" s="73"/>
      <c r="DN53" s="73"/>
      <c r="DO53" s="73"/>
      <c r="DP53" s="73"/>
      <c r="DQ53" s="73"/>
      <c r="DR53" s="73"/>
      <c r="DS53" s="73"/>
      <c r="DT53" s="73"/>
      <c r="DU53" s="73"/>
      <c r="DV53" s="73"/>
      <c r="DW53" s="73"/>
      <c r="DX53" s="73"/>
      <c r="DY53" s="73"/>
      <c r="DZ53" s="73"/>
      <c r="EA53" s="73"/>
      <c r="EB53" s="73"/>
      <c r="EC53" s="73"/>
      <c r="ED53" s="73"/>
      <c r="EE53" s="73"/>
      <c r="EF53" s="73"/>
      <c r="EG53" s="73"/>
      <c r="EH53" s="73"/>
      <c r="EI53" s="73"/>
      <c r="EJ53" s="73"/>
      <c r="EK53" s="73"/>
      <c r="EL53" s="73"/>
      <c r="EM53" s="73"/>
      <c r="EN53" s="73"/>
      <c r="EO53" s="73"/>
      <c r="EP53" s="73"/>
      <c r="EQ53" s="73"/>
      <c r="ER53" s="73"/>
      <c r="ES53" s="73"/>
      <c r="ET53" s="73"/>
      <c r="EU53" s="73"/>
      <c r="EV53" s="73"/>
      <c r="EW53" s="73"/>
      <c r="EX53" s="73"/>
      <c r="EY53" s="73"/>
      <c r="EZ53" s="73"/>
      <c r="FA53" s="73"/>
      <c r="FB53" s="73"/>
      <c r="FC53" s="73"/>
      <c r="FD53" s="73"/>
      <c r="FE53" s="73"/>
      <c r="FF53" s="73"/>
      <c r="FG53" s="73"/>
      <c r="FH53" s="73"/>
      <c r="FI53" s="73"/>
      <c r="FJ53" s="73"/>
      <c r="FK53" s="73"/>
      <c r="FL53" s="73"/>
      <c r="FM53" s="73"/>
      <c r="FN53" s="73"/>
      <c r="FO53" s="73"/>
      <c r="FP53" s="73"/>
      <c r="FQ53" s="73"/>
      <c r="FR53" s="73"/>
      <c r="FS53" s="73"/>
      <c r="FT53" s="73"/>
      <c r="FU53" s="73"/>
      <c r="FV53" s="73"/>
      <c r="FW53" s="73"/>
      <c r="FX53" s="73"/>
      <c r="FY53" s="73"/>
      <c r="FZ53" s="73"/>
      <c r="GA53" s="73"/>
      <c r="GB53" s="73"/>
      <c r="GC53" s="73"/>
      <c r="GD53" s="73"/>
      <c r="GE53" s="73"/>
      <c r="GF53" s="73"/>
      <c r="GG53" s="73"/>
      <c r="GH53" s="73"/>
      <c r="GI53" s="73"/>
      <c r="GJ53" s="73"/>
      <c r="GK53" s="73"/>
      <c r="GL53" s="73"/>
      <c r="GM53" s="73"/>
      <c r="GN53" s="73"/>
      <c r="GO53" s="73"/>
      <c r="GP53" s="73"/>
      <c r="GQ53" s="73"/>
      <c r="GR53" s="73"/>
      <c r="GS53" s="73"/>
      <c r="GT53" s="73"/>
      <c r="GU53" s="73"/>
      <c r="GV53" s="73"/>
      <c r="GW53" s="73"/>
      <c r="GX53" s="73"/>
      <c r="GY53" s="73"/>
      <c r="GZ53" s="73"/>
      <c r="HA53" s="73"/>
      <c r="HB53" s="73"/>
      <c r="HC53" s="73"/>
      <c r="HD53" s="73"/>
      <c r="HE53" s="73"/>
      <c r="HF53" s="73"/>
      <c r="HG53" s="73"/>
      <c r="HH53" s="73"/>
      <c r="HI53" s="73"/>
      <c r="HJ53" s="73"/>
      <c r="HK53" s="73"/>
      <c r="HL53" s="73"/>
      <c r="HM53" s="73"/>
      <c r="HN53" s="73"/>
      <c r="HO53" s="73"/>
      <c r="HP53" s="73"/>
      <c r="HQ53" s="73"/>
      <c r="HR53" s="73"/>
      <c r="HS53" s="73"/>
      <c r="HT53" s="73"/>
      <c r="HU53" s="73"/>
      <c r="HV53" s="73"/>
      <c r="HW53" s="73"/>
      <c r="HX53" s="73"/>
      <c r="HY53" s="73"/>
      <c r="HZ53" s="73"/>
      <c r="IA53" s="73"/>
      <c r="IB53" s="73"/>
      <c r="IC53" s="73"/>
      <c r="ID53" s="73"/>
      <c r="IE53" s="73"/>
      <c r="IF53" s="73"/>
      <c r="IG53" s="73"/>
      <c r="IH53" s="73"/>
      <c r="II53" s="73"/>
      <c r="IJ53" s="73"/>
      <c r="IK53" s="73"/>
      <c r="IL53" s="73"/>
      <c r="IM53" s="73"/>
      <c r="IN53" s="73"/>
      <c r="IO53" s="73"/>
      <c r="IP53" s="73"/>
      <c r="IQ53" s="73"/>
      <c r="IR53" s="73"/>
      <c r="IS53" s="73"/>
      <c r="IT53" s="73"/>
      <c r="IU53" s="73"/>
      <c r="IV53" s="73"/>
      <c r="IW53" s="73"/>
      <c r="IX53" s="73"/>
    </row>
    <row r="54" spans="1:258" s="96" customFormat="1" ht="54" customHeight="1" x14ac:dyDescent="0.5">
      <c r="A54" s="97"/>
      <c r="B54" s="98"/>
      <c r="C54" s="98" t="s">
        <v>33</v>
      </c>
      <c r="D54" s="98"/>
      <c r="E54" s="99" t="s">
        <v>43</v>
      </c>
      <c r="F54" s="99" t="s">
        <v>43</v>
      </c>
      <c r="G54" s="100">
        <f>SUM(G4:G39)</f>
        <v>60</v>
      </c>
      <c r="H54" s="99"/>
      <c r="I54" s="99">
        <f>SUM(I4:I53)</f>
        <v>10500</v>
      </c>
      <c r="J54" s="99">
        <f>SUM(J4:J38)</f>
        <v>0</v>
      </c>
      <c r="K54" s="99">
        <f>SUM(K4:K38)</f>
        <v>8700</v>
      </c>
      <c r="L54" s="99">
        <f>SUM(L4:L39)</f>
        <v>0</v>
      </c>
      <c r="M54" s="99"/>
      <c r="N54" s="99">
        <f>SUM(N4:N53)</f>
        <v>390000</v>
      </c>
      <c r="O54" s="78"/>
      <c r="P54" s="99"/>
      <c r="Q54" s="99">
        <f>SUM(Q4:Q39)</f>
        <v>391268</v>
      </c>
      <c r="R54" s="99">
        <f>SUM(R4:R39)</f>
        <v>336.99999999999994</v>
      </c>
      <c r="S54" s="99">
        <f>SUM(S4:S53)</f>
        <v>288960</v>
      </c>
      <c r="T54" s="99">
        <f t="shared" ref="T54" si="12">SUM(T4:T53)</f>
        <v>0</v>
      </c>
      <c r="U54" s="99"/>
      <c r="V54" s="99"/>
      <c r="W54" s="100"/>
      <c r="X54" s="98"/>
      <c r="Y54" s="99"/>
      <c r="Z54" s="99"/>
      <c r="AA54" s="98"/>
    </row>
    <row r="55" spans="1:258" x14ac:dyDescent="0.5">
      <c r="B55" s="62"/>
      <c r="C55" s="62"/>
      <c r="D55" s="62"/>
      <c r="E55" s="63"/>
      <c r="F55" s="63"/>
      <c r="G55" s="62"/>
      <c r="H55" s="62"/>
      <c r="I55" s="64"/>
      <c r="J55" s="62"/>
      <c r="K55" s="62"/>
      <c r="L55" s="62"/>
      <c r="M55" s="62"/>
      <c r="N55" s="62"/>
      <c r="O55" s="65"/>
      <c r="P55" s="62"/>
      <c r="Q55" s="62"/>
      <c r="R55" s="62"/>
      <c r="S55" s="62"/>
      <c r="T55" s="62"/>
      <c r="U55" s="62"/>
      <c r="V55" s="62"/>
      <c r="W55" s="62"/>
      <c r="X55" s="101"/>
      <c r="Y55" s="69"/>
      <c r="Z55" s="67"/>
      <c r="AA55" s="67"/>
    </row>
    <row r="56" spans="1:258" x14ac:dyDescent="0.5">
      <c r="B56" s="62"/>
      <c r="C56" s="62"/>
      <c r="D56" s="62"/>
      <c r="E56" s="63"/>
      <c r="F56" s="63"/>
      <c r="G56" s="62"/>
      <c r="H56" s="62"/>
      <c r="I56" s="102"/>
      <c r="J56" s="103"/>
      <c r="K56" s="62"/>
      <c r="L56" s="62"/>
      <c r="M56" s="62"/>
      <c r="N56" s="62"/>
      <c r="O56" s="65"/>
      <c r="P56" s="62"/>
      <c r="Q56" s="62"/>
      <c r="R56" s="62"/>
      <c r="S56" s="64"/>
      <c r="T56" s="62"/>
      <c r="U56" s="62"/>
      <c r="V56" s="62"/>
      <c r="W56" s="62"/>
      <c r="X56" s="64"/>
      <c r="Y56" s="64"/>
      <c r="Z56" s="62"/>
      <c r="AA56" s="62"/>
      <c r="AD56" s="58" t="s">
        <v>98</v>
      </c>
    </row>
    <row r="57" spans="1:258" x14ac:dyDescent="0.5">
      <c r="B57" s="62"/>
      <c r="C57" s="62"/>
      <c r="D57" s="62"/>
      <c r="E57" s="63"/>
      <c r="F57" s="63"/>
      <c r="G57" s="81"/>
      <c r="H57" s="81"/>
      <c r="I57" s="104">
        <f>IF(I55-G59&gt;0,I58,I58)</f>
        <v>0</v>
      </c>
      <c r="J57" s="105"/>
      <c r="K57" s="62"/>
      <c r="L57" s="62"/>
      <c r="M57" s="62"/>
      <c r="N57" s="62"/>
      <c r="O57" s="65"/>
      <c r="P57" s="62"/>
      <c r="Q57" s="62"/>
      <c r="R57" s="62"/>
      <c r="S57" s="64"/>
      <c r="T57" s="62"/>
      <c r="U57" s="62"/>
      <c r="V57" s="62"/>
      <c r="W57" s="62"/>
      <c r="X57" s="64"/>
      <c r="Y57" s="64"/>
      <c r="Z57" s="62"/>
      <c r="AA57" s="62"/>
    </row>
    <row r="58" spans="1:258" x14ac:dyDescent="0.5">
      <c r="B58" s="62"/>
      <c r="C58" s="62"/>
      <c r="D58" s="62"/>
      <c r="E58" s="63"/>
      <c r="F58" s="63"/>
      <c r="G58" s="81"/>
      <c r="H58" s="81"/>
      <c r="I58" s="64"/>
      <c r="J58" s="81"/>
      <c r="K58" s="62"/>
      <c r="L58" s="62"/>
      <c r="M58" s="62"/>
      <c r="N58" s="62"/>
      <c r="O58" s="65"/>
      <c r="P58" s="62"/>
      <c r="Q58" s="62"/>
      <c r="R58" s="62"/>
      <c r="S58" s="64"/>
      <c r="T58" s="62"/>
      <c r="U58" s="62"/>
      <c r="V58" s="62"/>
      <c r="W58" s="62"/>
      <c r="X58" s="64"/>
      <c r="Y58" s="64"/>
      <c r="Z58" s="62"/>
      <c r="AA58" s="62"/>
    </row>
    <row r="59" spans="1:258" x14ac:dyDescent="0.5">
      <c r="B59" s="62"/>
      <c r="C59" s="62"/>
      <c r="D59" s="62"/>
      <c r="E59" s="106"/>
      <c r="F59" s="106"/>
      <c r="G59" s="62"/>
      <c r="H59" s="62"/>
      <c r="I59" s="64"/>
      <c r="J59" s="62"/>
      <c r="K59" s="62"/>
      <c r="L59" s="62"/>
      <c r="M59" s="81"/>
      <c r="N59" s="62"/>
      <c r="O59" s="107">
        <f>SUM(O58-O54)</f>
        <v>0</v>
      </c>
      <c r="P59" s="81"/>
      <c r="Q59" s="81"/>
      <c r="R59" s="62"/>
      <c r="S59" s="64"/>
      <c r="T59" s="62"/>
      <c r="U59" s="62"/>
      <c r="V59" s="62"/>
      <c r="W59" s="62"/>
      <c r="X59" s="64"/>
      <c r="Y59" s="64"/>
      <c r="Z59" s="62"/>
      <c r="AA59" s="62"/>
    </row>
    <row r="60" spans="1:258" ht="32.65" customHeight="1" x14ac:dyDescent="0.5">
      <c r="B60" s="62"/>
      <c r="C60" s="62"/>
      <c r="D60" s="62"/>
      <c r="E60" s="63"/>
      <c r="F60" s="63"/>
      <c r="G60" s="62"/>
      <c r="H60" s="62"/>
      <c r="I60" s="64">
        <f>I58+I59</f>
        <v>0</v>
      </c>
      <c r="J60" s="62"/>
      <c r="K60" s="62"/>
      <c r="L60" s="62"/>
      <c r="M60" s="62"/>
      <c r="N60" s="62"/>
      <c r="O60" s="107"/>
      <c r="P60" s="62"/>
      <c r="Q60" s="62"/>
      <c r="R60" s="62"/>
      <c r="S60" s="81"/>
      <c r="T60" s="67"/>
      <c r="U60" s="62"/>
      <c r="V60" s="62"/>
      <c r="W60" s="62"/>
      <c r="X60" s="69"/>
      <c r="Y60" s="64"/>
      <c r="Z60" s="62"/>
      <c r="AA60" s="62"/>
    </row>
    <row r="61" spans="1:258" x14ac:dyDescent="0.5">
      <c r="B61" s="62"/>
      <c r="C61" s="62"/>
      <c r="D61" s="62"/>
      <c r="E61" s="63"/>
      <c r="F61" s="63"/>
      <c r="G61" s="62"/>
      <c r="H61" s="81"/>
      <c r="I61" s="64"/>
      <c r="J61" s="64"/>
      <c r="K61" s="62"/>
      <c r="L61" s="62"/>
      <c r="M61" s="62"/>
      <c r="N61" s="62"/>
      <c r="O61" s="65"/>
      <c r="P61" s="62"/>
      <c r="Q61" s="62"/>
      <c r="R61" s="62"/>
      <c r="S61" s="81"/>
      <c r="T61" s="67"/>
      <c r="U61" s="62"/>
      <c r="V61" s="62"/>
      <c r="W61" s="62"/>
      <c r="X61" s="64"/>
      <c r="Y61" s="64"/>
      <c r="Z61" s="62"/>
      <c r="AA61" s="62"/>
    </row>
    <row r="62" spans="1:258" x14ac:dyDescent="0.5">
      <c r="B62" s="62"/>
      <c r="C62" s="62"/>
      <c r="D62" s="62"/>
      <c r="E62" s="63"/>
      <c r="F62" s="63"/>
      <c r="G62" s="62"/>
      <c r="H62" s="62"/>
      <c r="I62" s="64"/>
      <c r="J62" s="62"/>
      <c r="K62" s="62"/>
      <c r="L62" s="62"/>
      <c r="M62" s="62"/>
      <c r="N62" s="62"/>
      <c r="O62" s="65"/>
      <c r="P62" s="62"/>
      <c r="Q62" s="62"/>
      <c r="R62" s="62"/>
      <c r="S62" s="62"/>
      <c r="T62" s="67"/>
      <c r="U62" s="62"/>
      <c r="V62" s="62"/>
      <c r="W62" s="62"/>
      <c r="X62" s="64"/>
      <c r="Y62" s="64"/>
      <c r="Z62" s="62"/>
      <c r="AA62" s="62"/>
    </row>
    <row r="63" spans="1:258" x14ac:dyDescent="0.5">
      <c r="B63" s="108"/>
      <c r="C63" s="62"/>
      <c r="D63" s="62"/>
      <c r="E63" s="63"/>
      <c r="F63" s="63"/>
      <c r="G63" s="81"/>
      <c r="H63" s="81">
        <f>G63*H39</f>
        <v>0</v>
      </c>
      <c r="I63" s="64"/>
      <c r="J63" s="62"/>
      <c r="K63" s="62"/>
      <c r="L63" s="62"/>
      <c r="M63" s="62"/>
      <c r="N63" s="62"/>
      <c r="O63" s="65"/>
      <c r="P63" s="62"/>
      <c r="Q63" s="62"/>
      <c r="R63" s="62"/>
      <c r="S63" s="62"/>
      <c r="T63" s="67"/>
      <c r="U63" s="62"/>
      <c r="V63" s="62"/>
      <c r="W63" s="62"/>
      <c r="X63" s="64"/>
      <c r="Y63" s="64"/>
      <c r="Z63" s="62"/>
      <c r="AA63" s="62"/>
    </row>
    <row r="64" spans="1:258" s="109" customFormat="1" ht="17" x14ac:dyDescent="0.5">
      <c r="B64" s="110"/>
      <c r="C64" s="111"/>
      <c r="D64" s="111"/>
      <c r="E64" s="112"/>
      <c r="F64" s="112"/>
      <c r="G64" s="113"/>
      <c r="H64" s="111"/>
      <c r="I64" s="113"/>
      <c r="J64" s="111"/>
      <c r="K64" s="111"/>
      <c r="L64" s="111"/>
      <c r="M64" s="111"/>
      <c r="N64" s="111"/>
      <c r="O64" s="114"/>
      <c r="P64" s="111"/>
      <c r="Q64" s="111"/>
      <c r="R64" s="111"/>
      <c r="S64" s="111"/>
      <c r="T64" s="111"/>
      <c r="U64" s="111"/>
      <c r="V64" s="111"/>
      <c r="W64" s="111"/>
      <c r="X64" s="113"/>
      <c r="Y64" s="113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/>
      <c r="BS64" s="111"/>
      <c r="BT64" s="111"/>
      <c r="BU64" s="111"/>
      <c r="BV64" s="111"/>
      <c r="BW64" s="111"/>
      <c r="BX64" s="111"/>
      <c r="BY64" s="111"/>
      <c r="BZ64" s="111"/>
      <c r="CA64" s="111"/>
      <c r="CB64" s="111"/>
      <c r="CC64" s="111"/>
      <c r="CD64" s="111"/>
      <c r="CE64" s="111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/>
      <c r="CQ64" s="111"/>
      <c r="CR64" s="111"/>
      <c r="CS64" s="111"/>
      <c r="CT64" s="111"/>
      <c r="CU64" s="111"/>
      <c r="CV64" s="111"/>
      <c r="CW64" s="111"/>
      <c r="CX64" s="111"/>
      <c r="CY64" s="111"/>
      <c r="CZ64" s="111"/>
      <c r="DA64" s="111"/>
      <c r="DB64" s="111"/>
      <c r="DC64" s="111"/>
      <c r="DD64" s="111"/>
      <c r="DE64" s="111"/>
      <c r="DF64" s="111"/>
      <c r="DG64" s="111"/>
      <c r="DH64" s="111"/>
      <c r="DI64" s="111"/>
      <c r="DJ64" s="111"/>
      <c r="DK64" s="111"/>
      <c r="DL64" s="111"/>
      <c r="DM64" s="111"/>
      <c r="DN64" s="111"/>
      <c r="DO64" s="111"/>
      <c r="DP64" s="111"/>
      <c r="DQ64" s="111"/>
      <c r="DR64" s="111"/>
      <c r="DS64" s="111"/>
      <c r="DT64" s="111"/>
      <c r="DU64" s="111"/>
      <c r="DV64" s="111"/>
      <c r="DW64" s="111"/>
      <c r="DX64" s="111"/>
      <c r="DY64" s="111"/>
      <c r="DZ64" s="111"/>
      <c r="EA64" s="111"/>
      <c r="EB64" s="111"/>
      <c r="EC64" s="111"/>
      <c r="ED64" s="111"/>
      <c r="EE64" s="111"/>
      <c r="EF64" s="111"/>
      <c r="EG64" s="111"/>
      <c r="EH64" s="111"/>
      <c r="EI64" s="111"/>
      <c r="EJ64" s="111"/>
      <c r="EK64" s="111"/>
      <c r="EL64" s="111"/>
      <c r="EM64" s="111"/>
      <c r="EN64" s="111"/>
      <c r="EO64" s="111"/>
      <c r="EP64" s="111"/>
      <c r="EQ64" s="111"/>
      <c r="ER64" s="111"/>
      <c r="ES64" s="111"/>
      <c r="ET64" s="111"/>
      <c r="EU64" s="111"/>
      <c r="EV64" s="111"/>
      <c r="EW64" s="111"/>
      <c r="EX64" s="111"/>
      <c r="EY64" s="111"/>
      <c r="EZ64" s="111"/>
      <c r="FA64" s="111"/>
      <c r="FB64" s="111"/>
      <c r="FC64" s="111"/>
      <c r="FD64" s="111"/>
      <c r="FE64" s="111"/>
      <c r="FF64" s="111"/>
      <c r="FG64" s="111"/>
      <c r="FH64" s="111"/>
      <c r="FI64" s="111"/>
      <c r="FJ64" s="111"/>
      <c r="FK64" s="111"/>
      <c r="FL64" s="111"/>
      <c r="FM64" s="111"/>
      <c r="FN64" s="111"/>
      <c r="FO64" s="111"/>
      <c r="FP64" s="111"/>
      <c r="FQ64" s="111"/>
      <c r="FR64" s="111"/>
      <c r="FS64" s="111"/>
      <c r="FT64" s="111"/>
      <c r="FU64" s="111"/>
      <c r="FV64" s="111"/>
      <c r="FW64" s="111"/>
      <c r="FX64" s="111"/>
      <c r="FY64" s="111"/>
      <c r="FZ64" s="111"/>
      <c r="GA64" s="111"/>
      <c r="GB64" s="111"/>
      <c r="GC64" s="111"/>
      <c r="GD64" s="111"/>
      <c r="GE64" s="111"/>
      <c r="GF64" s="111"/>
      <c r="GG64" s="111"/>
      <c r="GH64" s="111"/>
      <c r="GI64" s="111"/>
      <c r="GJ64" s="111"/>
      <c r="GK64" s="111"/>
      <c r="GL64" s="111"/>
      <c r="GM64" s="111"/>
      <c r="GN64" s="111"/>
      <c r="GO64" s="111"/>
      <c r="GP64" s="111"/>
      <c r="GQ64" s="111"/>
      <c r="GR64" s="111"/>
      <c r="GS64" s="111"/>
      <c r="GT64" s="111"/>
      <c r="GU64" s="111"/>
      <c r="GV64" s="111"/>
      <c r="GW64" s="111"/>
      <c r="GX64" s="111"/>
      <c r="GY64" s="111"/>
      <c r="GZ64" s="111"/>
      <c r="HA64" s="111"/>
      <c r="HB64" s="111"/>
      <c r="HC64" s="111"/>
      <c r="HD64" s="111"/>
      <c r="HE64" s="111"/>
      <c r="HF64" s="111"/>
      <c r="HG64" s="111"/>
      <c r="HH64" s="111"/>
      <c r="HI64" s="111"/>
      <c r="HJ64" s="111"/>
      <c r="HK64" s="111"/>
      <c r="HL64" s="111"/>
      <c r="HM64" s="111"/>
      <c r="HN64" s="111"/>
      <c r="HO64" s="111"/>
      <c r="HP64" s="111"/>
      <c r="HQ64" s="111"/>
      <c r="HR64" s="111"/>
      <c r="HS64" s="111"/>
      <c r="HT64" s="111"/>
      <c r="HU64" s="111"/>
      <c r="HV64" s="111"/>
      <c r="HW64" s="111"/>
      <c r="HX64" s="111"/>
      <c r="HY64" s="111"/>
      <c r="HZ64" s="111"/>
      <c r="IA64" s="111"/>
      <c r="IB64" s="111"/>
      <c r="IC64" s="111"/>
      <c r="ID64" s="111"/>
      <c r="IE64" s="111"/>
      <c r="IF64" s="111"/>
      <c r="IG64" s="111"/>
      <c r="IH64" s="111"/>
      <c r="II64" s="111"/>
      <c r="IJ64" s="111"/>
      <c r="IK64" s="111"/>
      <c r="IL64" s="111"/>
      <c r="IM64" s="111"/>
      <c r="IN64" s="111"/>
      <c r="IO64" s="111"/>
      <c r="IP64" s="111"/>
      <c r="IQ64" s="111"/>
      <c r="IR64" s="111"/>
      <c r="IS64" s="111"/>
      <c r="IT64" s="111"/>
      <c r="IU64" s="111"/>
      <c r="IV64" s="111"/>
      <c r="IW64" s="111"/>
      <c r="IX64" s="111"/>
    </row>
    <row r="65" spans="5:24" x14ac:dyDescent="0.5">
      <c r="G65" s="115"/>
      <c r="X65" s="60"/>
    </row>
    <row r="66" spans="5:24" x14ac:dyDescent="0.5">
      <c r="H66" s="88"/>
      <c r="W66" s="60"/>
      <c r="X66" s="60"/>
    </row>
    <row r="67" spans="5:24" x14ac:dyDescent="0.5">
      <c r="W67" s="60"/>
      <c r="X67" s="88"/>
    </row>
    <row r="68" spans="5:24" x14ac:dyDescent="0.5">
      <c r="G68" s="88"/>
      <c r="H68" s="88"/>
      <c r="W68" s="60"/>
      <c r="X68" s="60"/>
    </row>
    <row r="69" spans="5:24" x14ac:dyDescent="0.5">
      <c r="M69" s="116"/>
      <c r="W69" s="60"/>
      <c r="X69" s="88"/>
    </row>
    <row r="70" spans="5:24" x14ac:dyDescent="0.5">
      <c r="W70" s="60"/>
    </row>
    <row r="71" spans="5:24" x14ac:dyDescent="0.5">
      <c r="W71" s="60"/>
      <c r="X71" s="88"/>
    </row>
    <row r="72" spans="5:24" x14ac:dyDescent="0.5">
      <c r="W72" s="60"/>
      <c r="X72" s="60"/>
    </row>
    <row r="73" spans="5:24" x14ac:dyDescent="0.5">
      <c r="W73" s="60"/>
      <c r="X73" s="60"/>
    </row>
    <row r="74" spans="5:24" x14ac:dyDescent="0.5">
      <c r="W74" s="88"/>
      <c r="X74" s="60"/>
    </row>
    <row r="75" spans="5:24" x14ac:dyDescent="0.5">
      <c r="X75" s="60"/>
    </row>
    <row r="76" spans="5:24" x14ac:dyDescent="0.5">
      <c r="X76" s="60"/>
    </row>
    <row r="77" spans="5:24" x14ac:dyDescent="0.5">
      <c r="S77" s="117"/>
    </row>
    <row r="78" spans="5:24" x14ac:dyDescent="0.5">
      <c r="S78" s="117"/>
    </row>
    <row r="79" spans="5:24" x14ac:dyDescent="0.5">
      <c r="S79" s="117"/>
    </row>
    <row r="80" spans="5:24" s="58" customFormat="1" x14ac:dyDescent="0.5">
      <c r="E80" s="59"/>
      <c r="F80" s="59"/>
      <c r="O80" s="61"/>
      <c r="S80" s="117"/>
    </row>
    <row r="81" spans="5:19" s="58" customFormat="1" x14ac:dyDescent="0.5">
      <c r="E81" s="59"/>
      <c r="F81" s="59"/>
      <c r="O81" s="61"/>
      <c r="S81" s="117"/>
    </row>
    <row r="82" spans="5:19" s="58" customFormat="1" x14ac:dyDescent="0.5">
      <c r="E82" s="59"/>
      <c r="F82" s="59"/>
      <c r="O82" s="61"/>
      <c r="S82" s="117"/>
    </row>
  </sheetData>
  <pageMargins left="0.7" right="0.7" top="0.75" bottom="0.75" header="0.3" footer="0.3"/>
  <pageSetup paperSize="9" scale="44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workbookViewId="0"/>
  </sheetViews>
  <sheetFormatPr defaultColWidth="10" defaultRowHeight="14.5" x14ac:dyDescent="0.3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E443-80B9-47D4-95A1-5754A95D458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FDB9-9B6A-4271-B2A7-EC75248F1A3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L16:M22"/>
  <sheetViews>
    <sheetView workbookViewId="0">
      <selection activeCell="D12" sqref="D12"/>
    </sheetView>
  </sheetViews>
  <sheetFormatPr defaultColWidth="9" defaultRowHeight="14.5" x14ac:dyDescent="0.35"/>
  <sheetData>
    <row r="16" spans="12:12" x14ac:dyDescent="0.35">
      <c r="L16">
        <v>101456</v>
      </c>
    </row>
    <row r="17" spans="12:13" x14ac:dyDescent="0.35">
      <c r="L17">
        <v>21</v>
      </c>
    </row>
    <row r="18" spans="12:13" x14ac:dyDescent="0.35">
      <c r="L18">
        <v>1364</v>
      </c>
    </row>
    <row r="19" spans="12:13" x14ac:dyDescent="0.35">
      <c r="L19">
        <v>81411</v>
      </c>
      <c r="M19" t="s">
        <v>108</v>
      </c>
    </row>
    <row r="21" spans="12:13" x14ac:dyDescent="0.35">
      <c r="L21">
        <f>L16-L19</f>
        <v>20045</v>
      </c>
    </row>
    <row r="22" spans="12:13" x14ac:dyDescent="0.35">
      <c r="L22">
        <f>L19-55000</f>
        <v>26411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E1:K45"/>
  <sheetViews>
    <sheetView workbookViewId="0">
      <selection activeCell="J2" sqref="J2"/>
    </sheetView>
  </sheetViews>
  <sheetFormatPr defaultColWidth="9" defaultRowHeight="14.5" x14ac:dyDescent="0.35"/>
  <cols>
    <col min="1" max="4" width="10" customWidth="1"/>
    <col min="5" max="5" width="11.54296875" style="118" customWidth="1"/>
    <col min="6" max="8" width="10" customWidth="1"/>
    <col min="9" max="9" width="10.54296875" style="118" customWidth="1"/>
    <col min="10" max="11" width="9.1796875" style="118" customWidth="1"/>
    <col min="12" max="256" width="10" customWidth="1"/>
  </cols>
  <sheetData>
    <row r="1" spans="9:11" x14ac:dyDescent="0.35">
      <c r="I1" s="118" t="s">
        <v>111</v>
      </c>
      <c r="J1" s="118" t="s">
        <v>112</v>
      </c>
      <c r="K1" s="118" t="s">
        <v>113</v>
      </c>
    </row>
    <row r="2" spans="9:11" x14ac:dyDescent="0.35">
      <c r="I2" s="118">
        <v>8300</v>
      </c>
      <c r="J2" s="118">
        <v>21000</v>
      </c>
      <c r="K2" s="118">
        <v>9962</v>
      </c>
    </row>
    <row r="3" spans="9:11" x14ac:dyDescent="0.35">
      <c r="I3" s="118">
        <v>9608</v>
      </c>
      <c r="J3" s="118">
        <v>9962</v>
      </c>
      <c r="K3" s="118">
        <v>10623</v>
      </c>
    </row>
    <row r="4" spans="9:11" x14ac:dyDescent="0.35">
      <c r="I4" s="118">
        <v>9608</v>
      </c>
      <c r="J4" s="118">
        <v>11039</v>
      </c>
      <c r="K4" s="118">
        <v>8510</v>
      </c>
    </row>
    <row r="5" spans="9:11" x14ac:dyDescent="0.35">
      <c r="I5" s="118">
        <v>7525</v>
      </c>
      <c r="J5" s="118">
        <v>10117</v>
      </c>
      <c r="K5" s="118">
        <v>10100</v>
      </c>
    </row>
    <row r="6" spans="9:11" x14ac:dyDescent="0.35">
      <c r="I6" s="118">
        <v>11000</v>
      </c>
      <c r="J6" s="118">
        <v>10778</v>
      </c>
    </row>
    <row r="7" spans="9:11" x14ac:dyDescent="0.35">
      <c r="I7" s="118">
        <v>8985</v>
      </c>
      <c r="J7" s="118">
        <v>10750</v>
      </c>
    </row>
    <row r="8" spans="9:11" x14ac:dyDescent="0.35">
      <c r="I8" s="118">
        <v>7857</v>
      </c>
      <c r="J8" s="118">
        <v>8510</v>
      </c>
    </row>
    <row r="9" spans="9:11" x14ac:dyDescent="0.35">
      <c r="I9" s="118">
        <v>6000</v>
      </c>
      <c r="J9" s="118">
        <v>11230</v>
      </c>
    </row>
    <row r="10" spans="9:11" x14ac:dyDescent="0.35">
      <c r="I10" s="118">
        <v>9005</v>
      </c>
      <c r="J10" s="118">
        <v>8500</v>
      </c>
    </row>
    <row r="11" spans="9:11" x14ac:dyDescent="0.35">
      <c r="I11" s="118">
        <v>10665</v>
      </c>
      <c r="J11" s="118">
        <v>10590</v>
      </c>
    </row>
    <row r="12" spans="9:11" x14ac:dyDescent="0.35">
      <c r="I12" s="118">
        <v>9335</v>
      </c>
      <c r="J12" s="118">
        <v>10400</v>
      </c>
    </row>
    <row r="13" spans="9:11" x14ac:dyDescent="0.35">
      <c r="I13" s="118">
        <v>8040</v>
      </c>
      <c r="J13" s="118">
        <v>10000</v>
      </c>
    </row>
    <row r="14" spans="9:11" x14ac:dyDescent="0.35">
      <c r="I14" s="118">
        <v>8000</v>
      </c>
      <c r="J14" s="118">
        <v>10840</v>
      </c>
    </row>
    <row r="15" spans="9:11" x14ac:dyDescent="0.35">
      <c r="I15" s="118">
        <v>10560</v>
      </c>
      <c r="J15" s="118">
        <v>10200</v>
      </c>
      <c r="K15" s="118">
        <v>11200</v>
      </c>
    </row>
    <row r="16" spans="9:11" x14ac:dyDescent="0.35">
      <c r="I16" s="118">
        <v>11000</v>
      </c>
      <c r="J16" s="118">
        <v>10225</v>
      </c>
      <c r="K16" s="118">
        <v>11360</v>
      </c>
    </row>
    <row r="17" spans="9:11" x14ac:dyDescent="0.35">
      <c r="I17" s="118">
        <v>9421</v>
      </c>
      <c r="J17" s="118">
        <v>9000</v>
      </c>
      <c r="K17" s="118">
        <v>9787</v>
      </c>
    </row>
    <row r="18" spans="9:11" x14ac:dyDescent="0.35">
      <c r="I18" s="118">
        <v>10000</v>
      </c>
      <c r="J18" s="118">
        <v>9945</v>
      </c>
      <c r="K18" s="118">
        <v>9130</v>
      </c>
    </row>
    <row r="19" spans="9:11" x14ac:dyDescent="0.35">
      <c r="I19" s="118">
        <v>10700</v>
      </c>
      <c r="J19" s="118">
        <v>10000</v>
      </c>
      <c r="K19" s="118">
        <v>10250</v>
      </c>
    </row>
    <row r="20" spans="9:11" x14ac:dyDescent="0.35">
      <c r="I20" s="118">
        <v>10055</v>
      </c>
      <c r="J20" s="118">
        <v>5000</v>
      </c>
      <c r="K20" s="118">
        <v>10740</v>
      </c>
    </row>
    <row r="21" spans="9:11" x14ac:dyDescent="0.35">
      <c r="I21" s="118">
        <v>10200</v>
      </c>
      <c r="J21" s="118">
        <v>8900</v>
      </c>
      <c r="K21" s="118">
        <v>10910</v>
      </c>
    </row>
    <row r="22" spans="9:11" x14ac:dyDescent="0.35">
      <c r="I22" s="118">
        <v>1977</v>
      </c>
      <c r="J22" s="118">
        <v>9962</v>
      </c>
      <c r="K22" s="118">
        <v>9000</v>
      </c>
    </row>
    <row r="23" spans="9:11" x14ac:dyDescent="0.35">
      <c r="I23" s="118">
        <v>10155</v>
      </c>
      <c r="J23" s="118">
        <v>10583</v>
      </c>
      <c r="K23" s="118">
        <v>10353</v>
      </c>
    </row>
    <row r="24" spans="9:11" x14ac:dyDescent="0.35">
      <c r="I24" s="118">
        <v>10000</v>
      </c>
      <c r="J24" s="118">
        <v>11200</v>
      </c>
      <c r="K24" s="118">
        <v>10910</v>
      </c>
    </row>
    <row r="25" spans="9:11" x14ac:dyDescent="0.35">
      <c r="I25" s="118">
        <v>8000</v>
      </c>
      <c r="J25" s="118">
        <v>9930</v>
      </c>
      <c r="K25" s="118">
        <v>8930</v>
      </c>
    </row>
    <row r="26" spans="9:11" x14ac:dyDescent="0.35">
      <c r="I26" s="118">
        <v>9925</v>
      </c>
      <c r="J26" s="118">
        <v>8662</v>
      </c>
      <c r="K26" s="118">
        <v>1200</v>
      </c>
    </row>
    <row r="27" spans="9:11" x14ac:dyDescent="0.35">
      <c r="I27" s="118">
        <v>9840</v>
      </c>
      <c r="J27" s="118">
        <v>11300</v>
      </c>
      <c r="K27" s="118">
        <v>8770</v>
      </c>
    </row>
    <row r="28" spans="9:11" x14ac:dyDescent="0.35">
      <c r="I28" s="118">
        <v>8755</v>
      </c>
      <c r="J28" s="118">
        <v>2200</v>
      </c>
      <c r="K28" s="118">
        <v>10009</v>
      </c>
    </row>
    <row r="29" spans="9:11" x14ac:dyDescent="0.35">
      <c r="I29" s="118">
        <v>3000</v>
      </c>
      <c r="J29" s="118">
        <v>5200</v>
      </c>
      <c r="K29" s="118">
        <v>10300</v>
      </c>
    </row>
    <row r="30" spans="9:11" x14ac:dyDescent="0.35">
      <c r="I30" s="118">
        <v>8000</v>
      </c>
      <c r="J30" s="118">
        <v>10910</v>
      </c>
      <c r="K30" s="118">
        <v>8930</v>
      </c>
    </row>
    <row r="31" spans="9:11" x14ac:dyDescent="0.35">
      <c r="I31" s="118">
        <v>10000</v>
      </c>
      <c r="J31" s="118">
        <v>9400</v>
      </c>
      <c r="K31" s="118">
        <v>11230</v>
      </c>
    </row>
    <row r="32" spans="9:11" x14ac:dyDescent="0.35">
      <c r="I32" s="118">
        <v>10000</v>
      </c>
      <c r="J32" s="118">
        <v>10860</v>
      </c>
      <c r="K32" s="118">
        <v>6000</v>
      </c>
    </row>
    <row r="33" spans="5:11" x14ac:dyDescent="0.35">
      <c r="I33" s="118">
        <v>5520</v>
      </c>
      <c r="K33" s="118">
        <v>8500</v>
      </c>
    </row>
    <row r="34" spans="5:11" x14ac:dyDescent="0.35">
      <c r="I34" s="118">
        <v>9805</v>
      </c>
      <c r="K34" s="118">
        <v>10430</v>
      </c>
    </row>
    <row r="35" spans="5:11" x14ac:dyDescent="0.35">
      <c r="I35" s="118">
        <v>20000</v>
      </c>
      <c r="K35" s="118">
        <v>10000</v>
      </c>
    </row>
    <row r="36" spans="5:11" x14ac:dyDescent="0.35">
      <c r="E36" s="118">
        <v>119472</v>
      </c>
      <c r="I36" s="118">
        <v>7000</v>
      </c>
      <c r="K36" s="118">
        <v>10000</v>
      </c>
    </row>
    <row r="37" spans="5:11" x14ac:dyDescent="0.35">
      <c r="E37" s="118">
        <v>64399</v>
      </c>
      <c r="I37" s="118">
        <v>5000</v>
      </c>
      <c r="K37" s="118">
        <v>11000</v>
      </c>
    </row>
    <row r="38" spans="5:11" x14ac:dyDescent="0.35">
      <c r="E38" s="118">
        <f>SUM(E36:E37)</f>
        <v>183871</v>
      </c>
      <c r="I38" s="118">
        <v>20000</v>
      </c>
      <c r="K38" s="118">
        <v>8950</v>
      </c>
    </row>
    <row r="39" spans="5:11" x14ac:dyDescent="0.35">
      <c r="I39" s="118">
        <v>13000</v>
      </c>
      <c r="K39" s="118">
        <v>11230</v>
      </c>
    </row>
    <row r="40" spans="5:11" x14ac:dyDescent="0.35">
      <c r="I40" s="118">
        <v>10910</v>
      </c>
      <c r="K40" s="118">
        <v>400</v>
      </c>
    </row>
    <row r="41" spans="5:11" x14ac:dyDescent="0.35">
      <c r="K41" s="118">
        <v>7800</v>
      </c>
    </row>
    <row r="42" spans="5:11" x14ac:dyDescent="0.35">
      <c r="K42" s="118">
        <v>1000</v>
      </c>
    </row>
    <row r="43" spans="5:11" x14ac:dyDescent="0.35">
      <c r="K43" s="118">
        <v>8000</v>
      </c>
    </row>
    <row r="44" spans="5:11" x14ac:dyDescent="0.35">
      <c r="K44" s="118">
        <v>6294</v>
      </c>
    </row>
    <row r="45" spans="5:11" x14ac:dyDescent="0.35">
      <c r="I45" s="119">
        <f>SUM(I2:I44)</f>
        <v>366751</v>
      </c>
      <c r="J45" s="119">
        <f>SUM(J2:J44)</f>
        <v>307193</v>
      </c>
      <c r="K45" s="119">
        <f>SUM(K2:K44)</f>
        <v>301808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38</vt:i4>
      </vt:variant>
    </vt:vector>
  </HeadingPairs>
  <TitlesOfParts>
    <vt:vector size="95" baseType="lpstr">
      <vt:lpstr>1A</vt:lpstr>
      <vt:lpstr>2A</vt:lpstr>
      <vt:lpstr>3A</vt:lpstr>
      <vt:lpstr>4A</vt:lpstr>
      <vt:lpstr>5A</vt:lpstr>
      <vt:lpstr>6A</vt:lpstr>
      <vt:lpstr>1B</vt:lpstr>
      <vt:lpstr>2B</vt:lpstr>
      <vt:lpstr>3B</vt:lpstr>
      <vt:lpstr>4B</vt:lpstr>
      <vt:lpstr>5B</vt:lpstr>
      <vt:lpstr>6B</vt:lpstr>
      <vt:lpstr>1C</vt:lpstr>
      <vt:lpstr>2C</vt:lpstr>
      <vt:lpstr>3C</vt:lpstr>
      <vt:lpstr>4C</vt:lpstr>
      <vt:lpstr>5C</vt:lpstr>
      <vt:lpstr>6C</vt:lpstr>
      <vt:lpstr>1D</vt:lpstr>
      <vt:lpstr>2D</vt:lpstr>
      <vt:lpstr>3D</vt:lpstr>
      <vt:lpstr>4D</vt:lpstr>
      <vt:lpstr>5D</vt:lpstr>
      <vt:lpstr>6D</vt:lpstr>
      <vt:lpstr>1E</vt:lpstr>
      <vt:lpstr>2E</vt:lpstr>
      <vt:lpstr>3E</vt:lpstr>
      <vt:lpstr>4E</vt:lpstr>
      <vt:lpstr>5E</vt:lpstr>
      <vt:lpstr>6E</vt:lpstr>
      <vt:lpstr>7E</vt:lpstr>
      <vt:lpstr>1F</vt:lpstr>
      <vt:lpstr>2F</vt:lpstr>
      <vt:lpstr>3F</vt:lpstr>
      <vt:lpstr>4F</vt:lpstr>
      <vt:lpstr>36B</vt:lpstr>
      <vt:lpstr>5F</vt:lpstr>
      <vt:lpstr>6F</vt:lpstr>
      <vt:lpstr>7F</vt:lpstr>
      <vt:lpstr>1G</vt:lpstr>
      <vt:lpstr>2G</vt:lpstr>
      <vt:lpstr>3G</vt:lpstr>
      <vt:lpstr>4G</vt:lpstr>
      <vt:lpstr>5G</vt:lpstr>
      <vt:lpstr>6G</vt:lpstr>
      <vt:lpstr>1H</vt:lpstr>
      <vt:lpstr>2H</vt:lpstr>
      <vt:lpstr>3H</vt:lpstr>
      <vt:lpstr>4H</vt:lpstr>
      <vt:lpstr>5H</vt:lpstr>
      <vt:lpstr>6H</vt:lpstr>
      <vt:lpstr>meter</vt:lpstr>
      <vt:lpstr>Sheet3</vt:lpstr>
      <vt:lpstr>Sheet4</vt:lpstr>
      <vt:lpstr>Sheet5</vt:lpstr>
      <vt:lpstr>Sheet1</vt:lpstr>
      <vt:lpstr>Sheet2</vt:lpstr>
      <vt:lpstr>'1A'!Print_Area</vt:lpstr>
      <vt:lpstr>'1B'!Print_Area</vt:lpstr>
      <vt:lpstr>'1C'!Print_Area</vt:lpstr>
      <vt:lpstr>'1D'!Print_Area</vt:lpstr>
      <vt:lpstr>'1E'!Print_Area</vt:lpstr>
      <vt:lpstr>'1F'!Print_Area</vt:lpstr>
      <vt:lpstr>'2A'!Print_Area</vt:lpstr>
      <vt:lpstr>'2B'!Print_Area</vt:lpstr>
      <vt:lpstr>'2C'!Print_Area</vt:lpstr>
      <vt:lpstr>'2D'!Print_Area</vt:lpstr>
      <vt:lpstr>'2E'!Print_Area</vt:lpstr>
      <vt:lpstr>'2F'!Print_Area</vt:lpstr>
      <vt:lpstr>'36B'!Print_Area</vt:lpstr>
      <vt:lpstr>'3A'!Print_Area</vt:lpstr>
      <vt:lpstr>'3B'!Print_Area</vt:lpstr>
      <vt:lpstr>'3C'!Print_Area</vt:lpstr>
      <vt:lpstr>'3D'!Print_Area</vt:lpstr>
      <vt:lpstr>'3E'!Print_Area</vt:lpstr>
      <vt:lpstr>'3F'!Print_Area</vt:lpstr>
      <vt:lpstr>'4A'!Print_Area</vt:lpstr>
      <vt:lpstr>'4B'!Print_Area</vt:lpstr>
      <vt:lpstr>'4C'!Print_Area</vt:lpstr>
      <vt:lpstr>'4D'!Print_Area</vt:lpstr>
      <vt:lpstr>'4E'!Print_Area</vt:lpstr>
      <vt:lpstr>'4F'!Print_Area</vt:lpstr>
      <vt:lpstr>'5A'!Print_Area</vt:lpstr>
      <vt:lpstr>'5B'!Print_Area</vt:lpstr>
      <vt:lpstr>'5C'!Print_Area</vt:lpstr>
      <vt:lpstr>'5D'!Print_Area</vt:lpstr>
      <vt:lpstr>'5E'!Print_Area</vt:lpstr>
      <vt:lpstr>'6A'!Print_Area</vt:lpstr>
      <vt:lpstr>'6B'!Print_Area</vt:lpstr>
      <vt:lpstr>'6C'!Print_Area</vt:lpstr>
      <vt:lpstr>'6D'!Print_Area</vt:lpstr>
      <vt:lpstr>'6E'!Print_Area</vt:lpstr>
      <vt:lpstr>'6H'!Print_Area</vt:lpstr>
      <vt:lpstr>'7E'!Print_Area</vt:lpstr>
      <vt:lpstr>meter!Print_Area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samwel ngara</cp:lastModifiedBy>
  <cp:lastPrinted>2025-12-24T09:12:29Z</cp:lastPrinted>
  <dcterms:created xsi:type="dcterms:W3CDTF">2012-07-28T10:22:22Z</dcterms:created>
  <dcterms:modified xsi:type="dcterms:W3CDTF">2026-01-30T19:47:39Z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67ebb23336a04d19a196ed76f473650b</vt:lpwstr>
  </property>
</Properties>
</file>