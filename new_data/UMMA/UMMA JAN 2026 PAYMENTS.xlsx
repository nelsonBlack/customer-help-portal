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61B7E82-0960-4978-877D-5EF6462C0E82}" xr6:coauthVersionLast="47" xr6:coauthVersionMax="47" xr10:uidLastSave="{00000000-0000-0000-0000-000000000000}"/>
  <bookViews>
    <workbookView xWindow="-110" yWindow="-110" windowWidth="19420" windowHeight="11020" xr2:uid="{7FA86038-D4CC-46C6-98EF-C36D8A282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H53" i="1"/>
  <c r="I53" i="1"/>
  <c r="C53" i="1"/>
  <c r="D53" i="1"/>
  <c r="E3" i="1" l="1"/>
  <c r="E4" i="1"/>
  <c r="E5" i="1"/>
  <c r="E6" i="1"/>
  <c r="E7" i="1"/>
  <c r="E8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 l="1"/>
</calcChain>
</file>

<file path=xl/sharedStrings.xml><?xml version="1.0" encoding="utf-8"?>
<sst xmlns="http://schemas.openxmlformats.org/spreadsheetml/2006/main" count="240" uniqueCount="221">
  <si>
    <t>NAME</t>
  </si>
  <si>
    <t>HOUSE NO</t>
  </si>
  <si>
    <t>AMOUND DUE</t>
  </si>
  <si>
    <t>BALANCE</t>
  </si>
  <si>
    <t>1A</t>
  </si>
  <si>
    <t>2A</t>
  </si>
  <si>
    <t>3A</t>
  </si>
  <si>
    <t>4A</t>
  </si>
  <si>
    <t>5A</t>
  </si>
  <si>
    <t>6A</t>
  </si>
  <si>
    <t>1B</t>
  </si>
  <si>
    <t>2B</t>
  </si>
  <si>
    <t>3B</t>
  </si>
  <si>
    <t>4B</t>
  </si>
  <si>
    <t>5B</t>
  </si>
  <si>
    <t>6B</t>
  </si>
  <si>
    <t>1C</t>
  </si>
  <si>
    <t>2C</t>
  </si>
  <si>
    <t>3C</t>
  </si>
  <si>
    <t>4C</t>
  </si>
  <si>
    <t>5C</t>
  </si>
  <si>
    <t>6C</t>
  </si>
  <si>
    <t>1D</t>
  </si>
  <si>
    <t>2D</t>
  </si>
  <si>
    <t>3D</t>
  </si>
  <si>
    <t>4D</t>
  </si>
  <si>
    <t>5D</t>
  </si>
  <si>
    <t>1E</t>
  </si>
  <si>
    <t>2E</t>
  </si>
  <si>
    <t>3E</t>
  </si>
  <si>
    <t>4E</t>
  </si>
  <si>
    <t>5E</t>
  </si>
  <si>
    <t>6E</t>
  </si>
  <si>
    <t>7E</t>
  </si>
  <si>
    <t>1F</t>
  </si>
  <si>
    <t>2F</t>
  </si>
  <si>
    <t>3F</t>
  </si>
  <si>
    <t>4F</t>
  </si>
  <si>
    <t>5F</t>
  </si>
  <si>
    <t>6F</t>
  </si>
  <si>
    <t>7F</t>
  </si>
  <si>
    <t>1G</t>
  </si>
  <si>
    <t>2G</t>
  </si>
  <si>
    <t>3G</t>
  </si>
  <si>
    <t>4G</t>
  </si>
  <si>
    <t>5G</t>
  </si>
  <si>
    <t>6G</t>
  </si>
  <si>
    <t>1H</t>
  </si>
  <si>
    <t>2H</t>
  </si>
  <si>
    <t>3H</t>
  </si>
  <si>
    <t>4H</t>
  </si>
  <si>
    <t>5H</t>
  </si>
  <si>
    <t>6H</t>
  </si>
  <si>
    <t>6D</t>
  </si>
  <si>
    <t>AMOUND PAID</t>
  </si>
  <si>
    <t>TOTAL</t>
  </si>
  <si>
    <t xml:space="preserve">   PHONE NUMBER</t>
  </si>
  <si>
    <t xml:space="preserve">                       UMMA UNIVERSITY HOSTELS  JAN 2026 PAYMENTS RECORD</t>
  </si>
  <si>
    <t>NASRA ABDULAHI</t>
  </si>
  <si>
    <t>O746817303</t>
  </si>
  <si>
    <t>ZULEKHA BUNU</t>
  </si>
  <si>
    <t>O115147816</t>
  </si>
  <si>
    <t>NASRA GALGALLO</t>
  </si>
  <si>
    <t>O757928440</t>
  </si>
  <si>
    <t>NADYA JAMAL</t>
  </si>
  <si>
    <t>NASIBO ABDUBA</t>
  </si>
  <si>
    <t>O705651556</t>
  </si>
  <si>
    <t>O741229623</t>
  </si>
  <si>
    <t>MULKI ISAACK</t>
  </si>
  <si>
    <t>O721284793</t>
  </si>
  <si>
    <t>GLADY KEMUNTO</t>
  </si>
  <si>
    <t>O716920260</t>
  </si>
  <si>
    <t>MAHMUD MOHAMMED</t>
  </si>
  <si>
    <t>O728450642</t>
  </si>
  <si>
    <t>FATMA ALI</t>
  </si>
  <si>
    <t>O114952663</t>
  </si>
  <si>
    <t>QATHRA HAMDI</t>
  </si>
  <si>
    <t>HASSAN</t>
  </si>
  <si>
    <t>O708202300</t>
  </si>
  <si>
    <t>AISHA HABART</t>
  </si>
  <si>
    <t>O111202056</t>
  </si>
  <si>
    <t>RIYAL JAMAL</t>
  </si>
  <si>
    <t>O768332514</t>
  </si>
  <si>
    <t>IBRAHIM</t>
  </si>
  <si>
    <t>O723908839</t>
  </si>
  <si>
    <t>RIDWAN</t>
  </si>
  <si>
    <t>O706615256</t>
  </si>
  <si>
    <t>NASRA DABAR</t>
  </si>
  <si>
    <t>O723517811</t>
  </si>
  <si>
    <t xml:space="preserve">ABDALLAH </t>
  </si>
  <si>
    <t>O746924876</t>
  </si>
  <si>
    <t>QATHRA AHMED</t>
  </si>
  <si>
    <t>O117571621</t>
  </si>
  <si>
    <t>SAID DAMBI</t>
  </si>
  <si>
    <t>O700589722</t>
  </si>
  <si>
    <t>ASIYA  ALI</t>
  </si>
  <si>
    <t>O728822221</t>
  </si>
  <si>
    <t>O725008930</t>
  </si>
  <si>
    <t>O768013292</t>
  </si>
  <si>
    <t>NAJMA HALANE</t>
  </si>
  <si>
    <t>O721908355</t>
  </si>
  <si>
    <t>ISMAHAN MOHAMMED</t>
  </si>
  <si>
    <t>O721292730</t>
  </si>
  <si>
    <t>AMINA ALI ABDI</t>
  </si>
  <si>
    <t>O740142895</t>
  </si>
  <si>
    <t>MAIMUNA HUSSEIN</t>
  </si>
  <si>
    <t>O710602790</t>
  </si>
  <si>
    <t>SAMIRA ABDI/IBRAHIM</t>
  </si>
  <si>
    <t>ALBASHIR ADEN</t>
  </si>
  <si>
    <t>DATE PAID</t>
  </si>
  <si>
    <t>12TH JAN</t>
  </si>
  <si>
    <t>10TH JAN</t>
  </si>
  <si>
    <t>6TH JAN</t>
  </si>
  <si>
    <t>7TH JAN</t>
  </si>
  <si>
    <t>11TH JAN</t>
  </si>
  <si>
    <t>9TH JAN</t>
  </si>
  <si>
    <t>8TH JAN</t>
  </si>
  <si>
    <t>4TH JAN</t>
  </si>
  <si>
    <t>16TH JAN</t>
  </si>
  <si>
    <t>O112787791</t>
  </si>
  <si>
    <t>2nd</t>
  </si>
  <si>
    <t>asiri habib</t>
  </si>
  <si>
    <t>ADAN SAID</t>
  </si>
  <si>
    <t>26TH JAN</t>
  </si>
  <si>
    <t>O722117122</t>
  </si>
  <si>
    <t>O112784320</t>
  </si>
  <si>
    <t>14TH JAN</t>
  </si>
  <si>
    <t>HALIMA SHALE DAGANE</t>
  </si>
  <si>
    <t>O720343775</t>
  </si>
  <si>
    <t>O722408538</t>
  </si>
  <si>
    <t>RIDHWAN ABUBAKAR</t>
  </si>
  <si>
    <t>O712509790</t>
  </si>
  <si>
    <t>O758013502</t>
  </si>
  <si>
    <t xml:space="preserve"> NO OF DAYS</t>
  </si>
  <si>
    <t>TOP UP AMOUNT</t>
  </si>
  <si>
    <t>O734428255</t>
  </si>
  <si>
    <t>O725230303</t>
  </si>
  <si>
    <t>O723637329</t>
  </si>
  <si>
    <t>O740105434</t>
  </si>
  <si>
    <t>O753941644</t>
  </si>
  <si>
    <t>O745717268</t>
  </si>
  <si>
    <t>O799943038</t>
  </si>
  <si>
    <t>O712492227</t>
  </si>
  <si>
    <t>O113122040</t>
  </si>
  <si>
    <t>O798004748</t>
  </si>
  <si>
    <t>O113517385</t>
  </si>
  <si>
    <t>O743820994</t>
  </si>
  <si>
    <t>O729592983</t>
  </si>
  <si>
    <t>O726060214</t>
  </si>
  <si>
    <t xml:space="preserve">O116292151  </t>
  </si>
  <si>
    <t>ACCOUNT NO</t>
  </si>
  <si>
    <t>UM 1A</t>
  </si>
  <si>
    <t>UM 2A</t>
  </si>
  <si>
    <t>UM 3A</t>
  </si>
  <si>
    <t>UM 4A</t>
  </si>
  <si>
    <t>UM 5A</t>
  </si>
  <si>
    <t>UM 6A</t>
  </si>
  <si>
    <t>UM 1B</t>
  </si>
  <si>
    <t>UM 2B</t>
  </si>
  <si>
    <t>UM 3B</t>
  </si>
  <si>
    <t>UM 4B</t>
  </si>
  <si>
    <t>UM 5B</t>
  </si>
  <si>
    <t>UM 6B</t>
  </si>
  <si>
    <t>UM 1C</t>
  </si>
  <si>
    <t>UM 2C</t>
  </si>
  <si>
    <t>UM 3C</t>
  </si>
  <si>
    <t>UM 4C</t>
  </si>
  <si>
    <t>UM 5C</t>
  </si>
  <si>
    <t>UM 6C</t>
  </si>
  <si>
    <t>UM 1D</t>
  </si>
  <si>
    <t>UM 2D</t>
  </si>
  <si>
    <t>UM 3D</t>
  </si>
  <si>
    <t>UM 4D</t>
  </si>
  <si>
    <t>UM 5D</t>
  </si>
  <si>
    <t>UM 6D</t>
  </si>
  <si>
    <t>UM 1E</t>
  </si>
  <si>
    <t>UM 2E</t>
  </si>
  <si>
    <t>UM 3E</t>
  </si>
  <si>
    <t>UM 4E</t>
  </si>
  <si>
    <t>UM 5E</t>
  </si>
  <si>
    <t>UM 6E</t>
  </si>
  <si>
    <t>UM 7E</t>
  </si>
  <si>
    <t>UM 1F</t>
  </si>
  <si>
    <t>UM 2F</t>
  </si>
  <si>
    <t>UM 3F</t>
  </si>
  <si>
    <t>UM 4F</t>
  </si>
  <si>
    <t>UM 5F</t>
  </si>
  <si>
    <t>UM 6F</t>
  </si>
  <si>
    <t>UM 7F</t>
  </si>
  <si>
    <t>UM 1G</t>
  </si>
  <si>
    <t>UM 3G</t>
  </si>
  <si>
    <t>UM 4G</t>
  </si>
  <si>
    <t>UM 5G</t>
  </si>
  <si>
    <t>UM 6G</t>
  </si>
  <si>
    <t>UM 1H</t>
  </si>
  <si>
    <t>UM 2G</t>
  </si>
  <si>
    <t>UM 2H</t>
  </si>
  <si>
    <t>UM 3H</t>
  </si>
  <si>
    <t>UM 4H</t>
  </si>
  <si>
    <t>UM 6H</t>
  </si>
  <si>
    <t>UM 5H</t>
  </si>
  <si>
    <t>OSAMA</t>
  </si>
  <si>
    <t>FOZIA</t>
  </si>
  <si>
    <t>RAHMA</t>
  </si>
  <si>
    <t>FILSAN</t>
  </si>
  <si>
    <t>TALIB</t>
  </si>
  <si>
    <t>SABRIA</t>
  </si>
  <si>
    <t>ISAMAHAN</t>
  </si>
  <si>
    <t>MOHAMMED</t>
  </si>
  <si>
    <t>ZAKARIA</t>
  </si>
  <si>
    <t>ASMA ALI</t>
  </si>
  <si>
    <t>YUSSUF</t>
  </si>
  <si>
    <t>TUSMAN</t>
  </si>
  <si>
    <t>ABDULAHI</t>
  </si>
  <si>
    <t>JS</t>
  </si>
  <si>
    <t xml:space="preserve">ABDULAZIZ </t>
  </si>
  <si>
    <t>NEW TNT</t>
  </si>
  <si>
    <t>OSMAN</t>
  </si>
  <si>
    <t>ABAS</t>
  </si>
  <si>
    <t>VACCANT</t>
  </si>
  <si>
    <t>ABDI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</si>
</sst>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New 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7695-DD15-455F-9EF3-0405C0011516}">
  <dimension ref="A1:K53"/>
  <sheetViews>
    <sheetView tabSelected="1" topLeftCell="A25" workbookViewId="0">
      <selection activeCell="C34" sqref="C34"/>
    </sheetView>
  </sheetViews>
  <sheetFormatPr defaultRowHeight="14.5"/>
  <cols>
    <col min="1" max="1" width="21.26953125" customWidth="1"/>
    <col min="2" max="2" width="9.6328125" customWidth="1"/>
    <col min="3" max="3" width="12.7265625" customWidth="1"/>
    <col min="4" max="4" width="13.26953125" customWidth="1"/>
    <col min="5" max="5" width="8.7265625" customWidth="1"/>
    <col min="6" max="6" width="15.54296875" customWidth="1"/>
    <col min="7" max="7" width="9.7265625" customWidth="1"/>
    <col min="8" max="8" width="11.453125" customWidth="1"/>
    <col min="9" max="9" width="15.1796875" customWidth="1"/>
    <col min="10" max="10" width="16.26953125" customWidth="1"/>
  </cols>
  <sheetData>
    <row r="1" spans="1:10" s="2" customFormat="1" ht="57.5" customHeight="1">
      <c r="A1" s="2" t="s">
        <v>57</v>
      </c>
    </row>
    <row r="2" spans="1:10" s="1" customFormat="1" ht="46" customHeight="1">
      <c r="A2" s="1" t="s">
        <v>0</v>
      </c>
      <c r="B2" s="1" t="s">
        <v>1</v>
      </c>
      <c r="C2" s="1" t="s">
        <v>2</v>
      </c>
      <c r="D2" s="1" t="s">
        <v>54</v>
      </c>
      <c r="E2" s="1" t="s">
        <v>3</v>
      </c>
      <c r="F2" s="1" t="s">
        <v>56</v>
      </c>
      <c r="G2" s="1" t="s">
        <v>109</v>
      </c>
      <c r="H2" s="1" t="s">
        <v>133</v>
      </c>
      <c r="I2" s="1" t="s">
        <v>134</v>
      </c>
      <c r="J2" s="1" t="s">
        <v>150</v>
      </c>
    </row>
    <row r="3" spans="1:10">
      <c r="B3" t="s">
        <v>4</v>
      </c>
      <c r="C3">
        <v>7000</v>
      </c>
      <c r="D3">
        <v>7000</v>
      </c>
      <c r="E3">
        <f>C3-D3</f>
        <v>0</v>
      </c>
      <c r="F3" t="s">
        <v>125</v>
      </c>
      <c r="G3" t="s">
        <v>118</v>
      </c>
      <c r="J3" t="s">
        <v>151</v>
      </c>
    </row>
    <row r="4" spans="1:10">
      <c r="A4" t="s">
        <v>58</v>
      </c>
      <c r="B4" t="s">
        <v>5</v>
      </c>
      <c r="C4">
        <v>7000</v>
      </c>
      <c r="D4">
        <v>7000</v>
      </c>
      <c r="E4">
        <f>C4-D4</f>
        <v>0</v>
      </c>
      <c r="F4" t="s">
        <v>59</v>
      </c>
      <c r="G4" t="s">
        <v>118</v>
      </c>
      <c r="J4" t="s">
        <v>152</v>
      </c>
    </row>
    <row r="5" spans="1:10">
      <c r="A5" t="s">
        <v>60</v>
      </c>
      <c r="B5" t="s">
        <v>6</v>
      </c>
      <c r="C5">
        <v>7000</v>
      </c>
      <c r="D5">
        <v>7000</v>
      </c>
      <c r="E5">
        <f t="shared" ref="E5:E52" si="0">C5-D5</f>
        <v>0</v>
      </c>
      <c r="F5" t="s">
        <v>61</v>
      </c>
      <c r="G5" t="s">
        <v>117</v>
      </c>
      <c r="J5" t="s">
        <v>153</v>
      </c>
    </row>
    <row r="6" spans="1:10">
      <c r="A6" t="s">
        <v>62</v>
      </c>
      <c r="B6" t="s">
        <v>7</v>
      </c>
      <c r="C6">
        <v>7354</v>
      </c>
      <c r="D6">
        <v>0</v>
      </c>
      <c r="E6">
        <f t="shared" si="0"/>
        <v>7354</v>
      </c>
      <c r="F6" t="s">
        <v>63</v>
      </c>
      <c r="H6">
        <v>2</v>
      </c>
      <c r="I6">
        <v>451</v>
      </c>
      <c r="J6" t="s">
        <v>154</v>
      </c>
    </row>
    <row r="7" spans="1:10">
      <c r="A7" t="s">
        <v>64</v>
      </c>
      <c r="B7" t="s">
        <v>8</v>
      </c>
      <c r="C7">
        <v>7000</v>
      </c>
      <c r="D7">
        <v>3500</v>
      </c>
      <c r="E7">
        <f t="shared" si="0"/>
        <v>3500</v>
      </c>
      <c r="F7" t="s">
        <v>135</v>
      </c>
      <c r="H7">
        <v>2</v>
      </c>
      <c r="I7">
        <v>451</v>
      </c>
      <c r="J7" t="s">
        <v>155</v>
      </c>
    </row>
    <row r="8" spans="1:10">
      <c r="A8" t="s">
        <v>220</v>
      </c>
      <c r="B8" t="s">
        <v>9</v>
      </c>
      <c r="C8">
        <v>6000</v>
      </c>
      <c r="D8">
        <v>0</v>
      </c>
      <c r="E8">
        <f t="shared" si="0"/>
        <v>6000</v>
      </c>
      <c r="F8" t="s">
        <v>136</v>
      </c>
      <c r="H8">
        <v>3</v>
      </c>
      <c r="I8">
        <v>580</v>
      </c>
      <c r="J8" t="s">
        <v>156</v>
      </c>
    </row>
    <row r="9" spans="1:10">
      <c r="A9" t="s">
        <v>219</v>
      </c>
      <c r="B9" t="s">
        <v>10</v>
      </c>
      <c r="E9">
        <f>C9-D9</f>
        <v>0</v>
      </c>
      <c r="J9" t="s">
        <v>157</v>
      </c>
    </row>
    <row r="10" spans="1:10">
      <c r="A10" t="s">
        <v>121</v>
      </c>
      <c r="B10" t="s">
        <v>11</v>
      </c>
      <c r="C10">
        <v>7000</v>
      </c>
      <c r="D10">
        <v>7000</v>
      </c>
      <c r="E10">
        <f t="shared" si="0"/>
        <v>0</v>
      </c>
      <c r="F10" t="s">
        <v>66</v>
      </c>
      <c r="G10" t="s">
        <v>120</v>
      </c>
      <c r="J10" t="s">
        <v>158</v>
      </c>
    </row>
    <row r="11" spans="1:10">
      <c r="A11" t="s">
        <v>65</v>
      </c>
      <c r="B11" t="s">
        <v>12</v>
      </c>
      <c r="C11">
        <v>7000</v>
      </c>
      <c r="D11">
        <v>7000</v>
      </c>
      <c r="E11">
        <f t="shared" si="0"/>
        <v>0</v>
      </c>
      <c r="F11" t="s">
        <v>69</v>
      </c>
      <c r="G11" t="s">
        <v>114</v>
      </c>
      <c r="J11" t="s">
        <v>159</v>
      </c>
    </row>
    <row r="12" spans="1:10">
      <c r="A12" t="s">
        <v>68</v>
      </c>
      <c r="B12" t="s">
        <v>13</v>
      </c>
      <c r="C12">
        <v>7000</v>
      </c>
      <c r="D12">
        <v>7000</v>
      </c>
      <c r="E12">
        <f t="shared" si="0"/>
        <v>0</v>
      </c>
      <c r="F12" t="s">
        <v>67</v>
      </c>
      <c r="G12" t="s">
        <v>116</v>
      </c>
      <c r="J12" t="s">
        <v>160</v>
      </c>
    </row>
    <row r="13" spans="1:10">
      <c r="A13" t="s">
        <v>70</v>
      </c>
      <c r="B13" t="s">
        <v>14</v>
      </c>
      <c r="C13">
        <v>7000</v>
      </c>
      <c r="D13">
        <v>0</v>
      </c>
      <c r="E13">
        <f t="shared" si="0"/>
        <v>7000</v>
      </c>
      <c r="F13" t="s">
        <v>71</v>
      </c>
      <c r="H13">
        <v>3</v>
      </c>
      <c r="I13">
        <v>451</v>
      </c>
      <c r="J13" t="s">
        <v>161</v>
      </c>
    </row>
    <row r="14" spans="1:10">
      <c r="A14" t="s">
        <v>72</v>
      </c>
      <c r="B14" t="s">
        <v>15</v>
      </c>
      <c r="C14">
        <v>8000</v>
      </c>
      <c r="D14">
        <v>8000</v>
      </c>
      <c r="E14">
        <f t="shared" si="0"/>
        <v>0</v>
      </c>
      <c r="F14" t="s">
        <v>73</v>
      </c>
      <c r="G14" t="s">
        <v>118</v>
      </c>
      <c r="J14" t="s">
        <v>162</v>
      </c>
    </row>
    <row r="15" spans="1:10">
      <c r="A15" t="s">
        <v>130</v>
      </c>
      <c r="B15" t="s">
        <v>16</v>
      </c>
      <c r="C15">
        <v>8000</v>
      </c>
      <c r="D15">
        <v>8000</v>
      </c>
      <c r="E15">
        <f t="shared" si="0"/>
        <v>0</v>
      </c>
      <c r="F15" t="s">
        <v>131</v>
      </c>
      <c r="G15" t="s">
        <v>111</v>
      </c>
      <c r="J15" t="s">
        <v>163</v>
      </c>
    </row>
    <row r="16" spans="1:10">
      <c r="A16" t="s">
        <v>74</v>
      </c>
      <c r="B16" t="s">
        <v>17</v>
      </c>
      <c r="C16">
        <v>8000</v>
      </c>
      <c r="D16">
        <v>0</v>
      </c>
      <c r="E16">
        <f t="shared" si="0"/>
        <v>8000</v>
      </c>
      <c r="F16" t="s">
        <v>75</v>
      </c>
      <c r="H16">
        <v>2</v>
      </c>
      <c r="I16">
        <v>516</v>
      </c>
      <c r="J16" t="s">
        <v>164</v>
      </c>
    </row>
    <row r="17" spans="1:11">
      <c r="A17" t="s">
        <v>76</v>
      </c>
      <c r="B17" t="s">
        <v>18</v>
      </c>
      <c r="C17">
        <v>10150</v>
      </c>
      <c r="D17">
        <v>10150</v>
      </c>
      <c r="E17">
        <f t="shared" si="0"/>
        <v>0</v>
      </c>
      <c r="F17" t="s">
        <v>119</v>
      </c>
      <c r="G17" t="s">
        <v>113</v>
      </c>
      <c r="J17" t="s">
        <v>165</v>
      </c>
    </row>
    <row r="18" spans="1:11">
      <c r="A18" t="s">
        <v>218</v>
      </c>
      <c r="B18" t="s">
        <v>19</v>
      </c>
      <c r="C18">
        <v>8000</v>
      </c>
      <c r="D18">
        <v>0</v>
      </c>
      <c r="E18">
        <f t="shared" si="0"/>
        <v>8000</v>
      </c>
      <c r="F18" t="s">
        <v>137</v>
      </c>
      <c r="H18">
        <v>2</v>
      </c>
      <c r="I18">
        <v>516</v>
      </c>
      <c r="J18" t="s">
        <v>166</v>
      </c>
    </row>
    <row r="19" spans="1:11">
      <c r="A19" t="s">
        <v>77</v>
      </c>
      <c r="B19" t="s">
        <v>20</v>
      </c>
      <c r="C19">
        <v>8000</v>
      </c>
      <c r="D19">
        <v>0</v>
      </c>
      <c r="E19">
        <f t="shared" si="0"/>
        <v>8000</v>
      </c>
      <c r="F19" t="s">
        <v>78</v>
      </c>
      <c r="J19" t="s">
        <v>167</v>
      </c>
    </row>
    <row r="20" spans="1:11">
      <c r="A20" t="s">
        <v>216</v>
      </c>
      <c r="B20" t="s">
        <v>21</v>
      </c>
      <c r="E20">
        <f t="shared" si="0"/>
        <v>0</v>
      </c>
      <c r="J20" t="s">
        <v>168</v>
      </c>
    </row>
    <row r="21" spans="1:11">
      <c r="A21" t="s">
        <v>79</v>
      </c>
      <c r="B21" t="s">
        <v>22</v>
      </c>
      <c r="C21">
        <v>8000</v>
      </c>
      <c r="D21">
        <v>8000</v>
      </c>
      <c r="E21">
        <f t="shared" si="0"/>
        <v>0</v>
      </c>
      <c r="F21" t="s">
        <v>80</v>
      </c>
      <c r="G21" t="s">
        <v>115</v>
      </c>
      <c r="J21" t="s">
        <v>169</v>
      </c>
    </row>
    <row r="22" spans="1:11">
      <c r="A22" t="s">
        <v>81</v>
      </c>
      <c r="B22" t="s">
        <v>23</v>
      </c>
      <c r="C22">
        <v>8000</v>
      </c>
      <c r="D22">
        <v>8000</v>
      </c>
      <c r="E22">
        <f t="shared" si="0"/>
        <v>0</v>
      </c>
      <c r="F22" t="s">
        <v>82</v>
      </c>
      <c r="G22" t="s">
        <v>110</v>
      </c>
      <c r="J22" t="s">
        <v>170</v>
      </c>
    </row>
    <row r="23" spans="1:11">
      <c r="A23" t="s">
        <v>83</v>
      </c>
      <c r="B23" t="s">
        <v>24</v>
      </c>
      <c r="C23">
        <v>8000</v>
      </c>
      <c r="D23">
        <v>8000</v>
      </c>
      <c r="E23">
        <f t="shared" si="0"/>
        <v>0</v>
      </c>
      <c r="F23" t="s">
        <v>84</v>
      </c>
      <c r="G23" t="s">
        <v>110</v>
      </c>
      <c r="J23" t="s">
        <v>171</v>
      </c>
    </row>
    <row r="24" spans="1:11">
      <c r="A24" t="s">
        <v>85</v>
      </c>
      <c r="B24" t="s">
        <v>25</v>
      </c>
      <c r="C24">
        <v>8000</v>
      </c>
      <c r="D24">
        <v>0</v>
      </c>
      <c r="E24">
        <f t="shared" si="0"/>
        <v>8000</v>
      </c>
      <c r="F24" t="s">
        <v>86</v>
      </c>
      <c r="H24">
        <v>3</v>
      </c>
      <c r="I24">
        <v>774</v>
      </c>
      <c r="J24" t="s">
        <v>172</v>
      </c>
    </row>
    <row r="25" spans="1:11">
      <c r="A25" t="s">
        <v>87</v>
      </c>
      <c r="B25" t="s">
        <v>26</v>
      </c>
      <c r="C25">
        <v>8000</v>
      </c>
      <c r="D25">
        <v>8000</v>
      </c>
      <c r="E25">
        <f t="shared" si="0"/>
        <v>0</v>
      </c>
      <c r="F25" t="s">
        <v>88</v>
      </c>
      <c r="G25" t="s">
        <v>114</v>
      </c>
      <c r="J25" t="s">
        <v>173</v>
      </c>
    </row>
    <row r="26" spans="1:11">
      <c r="A26" t="s">
        <v>217</v>
      </c>
      <c r="B26" t="s">
        <v>53</v>
      </c>
      <c r="C26">
        <v>7500</v>
      </c>
      <c r="D26">
        <v>7500</v>
      </c>
      <c r="E26">
        <f t="shared" si="0"/>
        <v>0</v>
      </c>
      <c r="F26" t="s">
        <v>138</v>
      </c>
      <c r="G26" t="s">
        <v>110</v>
      </c>
      <c r="H26">
        <v>2</v>
      </c>
      <c r="I26">
        <v>484</v>
      </c>
      <c r="J26" t="s">
        <v>174</v>
      </c>
    </row>
    <row r="27" spans="1:11">
      <c r="A27" t="s">
        <v>89</v>
      </c>
      <c r="B27" t="s">
        <v>27</v>
      </c>
      <c r="C27">
        <v>8000</v>
      </c>
      <c r="D27">
        <v>8000</v>
      </c>
      <c r="E27">
        <f t="shared" si="0"/>
        <v>0</v>
      </c>
      <c r="F27" t="s">
        <v>90</v>
      </c>
      <c r="J27" t="s">
        <v>175</v>
      </c>
      <c r="K27" t="s">
        <v>214</v>
      </c>
    </row>
    <row r="28" spans="1:11">
      <c r="A28" t="s">
        <v>91</v>
      </c>
      <c r="B28" t="s">
        <v>28</v>
      </c>
      <c r="C28">
        <v>8000</v>
      </c>
      <c r="D28">
        <v>8000</v>
      </c>
      <c r="E28">
        <f t="shared" si="0"/>
        <v>0</v>
      </c>
      <c r="F28" t="s">
        <v>92</v>
      </c>
      <c r="G28" t="s">
        <v>113</v>
      </c>
      <c r="J28" t="s">
        <v>176</v>
      </c>
    </row>
    <row r="29" spans="1:11">
      <c r="A29" t="s">
        <v>93</v>
      </c>
      <c r="B29" t="s">
        <v>29</v>
      </c>
      <c r="C29">
        <v>8000</v>
      </c>
      <c r="D29">
        <v>7000</v>
      </c>
      <c r="E29">
        <f t="shared" si="0"/>
        <v>1000</v>
      </c>
      <c r="F29" t="s">
        <v>94</v>
      </c>
      <c r="G29" t="s">
        <v>117</v>
      </c>
      <c r="J29" t="s">
        <v>177</v>
      </c>
    </row>
    <row r="30" spans="1:11">
      <c r="A30" t="s">
        <v>213</v>
      </c>
      <c r="B30" t="s">
        <v>30</v>
      </c>
      <c r="C30">
        <v>7000</v>
      </c>
      <c r="D30">
        <v>0</v>
      </c>
      <c r="E30">
        <f t="shared" si="0"/>
        <v>7000</v>
      </c>
      <c r="F30" t="s">
        <v>139</v>
      </c>
      <c r="H30">
        <v>4</v>
      </c>
      <c r="I30">
        <v>900</v>
      </c>
      <c r="J30" t="s">
        <v>178</v>
      </c>
    </row>
    <row r="31" spans="1:11">
      <c r="A31" t="s">
        <v>95</v>
      </c>
      <c r="B31" t="s">
        <v>31</v>
      </c>
      <c r="C31">
        <v>7000</v>
      </c>
      <c r="D31">
        <v>7000</v>
      </c>
      <c r="E31">
        <f t="shared" si="0"/>
        <v>0</v>
      </c>
      <c r="F31" t="s">
        <v>96</v>
      </c>
      <c r="G31" t="s">
        <v>113</v>
      </c>
      <c r="J31" t="s">
        <v>179</v>
      </c>
    </row>
    <row r="32" spans="1:11">
      <c r="A32" t="s">
        <v>215</v>
      </c>
      <c r="B32" t="s">
        <v>32</v>
      </c>
      <c r="C32">
        <v>7000</v>
      </c>
      <c r="D32">
        <v>7000</v>
      </c>
      <c r="E32">
        <f t="shared" si="0"/>
        <v>0</v>
      </c>
      <c r="F32" t="s">
        <v>97</v>
      </c>
      <c r="G32" t="s">
        <v>114</v>
      </c>
      <c r="J32" t="s">
        <v>180</v>
      </c>
    </row>
    <row r="33" spans="1:11">
      <c r="A33" t="s">
        <v>211</v>
      </c>
      <c r="B33" t="s">
        <v>33</v>
      </c>
      <c r="C33">
        <v>10000</v>
      </c>
      <c r="D33">
        <v>10000</v>
      </c>
      <c r="E33">
        <f t="shared" si="0"/>
        <v>0</v>
      </c>
      <c r="F33" t="s">
        <v>129</v>
      </c>
      <c r="G33" t="s">
        <v>111</v>
      </c>
      <c r="J33" t="s">
        <v>181</v>
      </c>
    </row>
    <row r="34" spans="1:11">
      <c r="A34" t="s">
        <v>212</v>
      </c>
      <c r="B34" t="s">
        <v>34</v>
      </c>
      <c r="C34">
        <v>8000</v>
      </c>
      <c r="D34">
        <v>8000</v>
      </c>
      <c r="E34">
        <f t="shared" si="0"/>
        <v>0</v>
      </c>
      <c r="F34" t="s">
        <v>98</v>
      </c>
      <c r="J34" t="s">
        <v>182</v>
      </c>
      <c r="K34" t="s">
        <v>214</v>
      </c>
    </row>
    <row r="35" spans="1:11">
      <c r="A35" t="s">
        <v>127</v>
      </c>
      <c r="B35" t="s">
        <v>35</v>
      </c>
      <c r="C35">
        <v>8000</v>
      </c>
      <c r="D35">
        <v>8000</v>
      </c>
      <c r="E35">
        <f t="shared" si="0"/>
        <v>0</v>
      </c>
      <c r="F35" t="s">
        <v>128</v>
      </c>
      <c r="G35" t="s">
        <v>110</v>
      </c>
      <c r="J35" t="s">
        <v>183</v>
      </c>
    </row>
    <row r="36" spans="1:11">
      <c r="A36" t="s">
        <v>99</v>
      </c>
      <c r="B36" t="s">
        <v>36</v>
      </c>
      <c r="C36">
        <v>7000</v>
      </c>
      <c r="D36">
        <v>7000</v>
      </c>
      <c r="E36">
        <f t="shared" si="0"/>
        <v>0</v>
      </c>
      <c r="F36" t="s">
        <v>100</v>
      </c>
      <c r="G36" t="s">
        <v>110</v>
      </c>
      <c r="J36" t="s">
        <v>184</v>
      </c>
    </row>
    <row r="37" spans="1:11">
      <c r="A37" t="s">
        <v>210</v>
      </c>
      <c r="B37" t="s">
        <v>37</v>
      </c>
      <c r="C37">
        <v>7000</v>
      </c>
      <c r="D37">
        <v>14000</v>
      </c>
      <c r="E37">
        <f t="shared" si="0"/>
        <v>-7000</v>
      </c>
      <c r="F37" t="s">
        <v>140</v>
      </c>
      <c r="G37" t="s">
        <v>115</v>
      </c>
      <c r="J37" t="s">
        <v>185</v>
      </c>
    </row>
    <row r="38" spans="1:11">
      <c r="A38" t="s">
        <v>101</v>
      </c>
      <c r="B38" t="s">
        <v>38</v>
      </c>
      <c r="C38">
        <v>7000</v>
      </c>
      <c r="D38">
        <v>7000</v>
      </c>
      <c r="E38">
        <f t="shared" si="0"/>
        <v>0</v>
      </c>
      <c r="F38" t="s">
        <v>102</v>
      </c>
      <c r="G38" t="s">
        <v>126</v>
      </c>
      <c r="J38" t="s">
        <v>186</v>
      </c>
    </row>
    <row r="39" spans="1:11">
      <c r="A39" t="s">
        <v>103</v>
      </c>
      <c r="B39" t="s">
        <v>39</v>
      </c>
      <c r="C39">
        <v>6656</v>
      </c>
      <c r="D39">
        <v>6656</v>
      </c>
      <c r="E39">
        <f t="shared" si="0"/>
        <v>0</v>
      </c>
      <c r="F39" t="s">
        <v>104</v>
      </c>
      <c r="G39" t="s">
        <v>112</v>
      </c>
      <c r="J39" t="s">
        <v>187</v>
      </c>
    </row>
    <row r="40" spans="1:11">
      <c r="A40" t="s">
        <v>209</v>
      </c>
      <c r="B40" t="s">
        <v>40</v>
      </c>
      <c r="C40">
        <v>8000</v>
      </c>
      <c r="D40">
        <v>0</v>
      </c>
      <c r="E40">
        <f t="shared" si="0"/>
        <v>8000</v>
      </c>
      <c r="F40" t="s">
        <v>141</v>
      </c>
      <c r="H40">
        <v>4</v>
      </c>
      <c r="I40">
        <v>1032</v>
      </c>
      <c r="J40" t="s">
        <v>188</v>
      </c>
    </row>
    <row r="41" spans="1:11">
      <c r="A41" t="s">
        <v>208</v>
      </c>
      <c r="B41" t="s">
        <v>41</v>
      </c>
      <c r="C41">
        <v>8000</v>
      </c>
      <c r="D41">
        <v>8000</v>
      </c>
      <c r="E41">
        <f t="shared" si="0"/>
        <v>0</v>
      </c>
      <c r="F41" t="s">
        <v>73</v>
      </c>
      <c r="G41" t="s">
        <v>118</v>
      </c>
      <c r="J41" t="s">
        <v>189</v>
      </c>
    </row>
    <row r="42" spans="1:11">
      <c r="A42" t="s">
        <v>105</v>
      </c>
      <c r="B42" t="s">
        <v>42</v>
      </c>
      <c r="C42">
        <v>8000</v>
      </c>
      <c r="E42">
        <f t="shared" si="0"/>
        <v>8000</v>
      </c>
      <c r="F42" t="s">
        <v>106</v>
      </c>
      <c r="H42">
        <v>3</v>
      </c>
      <c r="I42">
        <v>774</v>
      </c>
      <c r="J42" t="s">
        <v>195</v>
      </c>
    </row>
    <row r="43" spans="1:11">
      <c r="A43" t="s">
        <v>207</v>
      </c>
      <c r="B43" t="s">
        <v>43</v>
      </c>
      <c r="C43">
        <v>10000</v>
      </c>
      <c r="D43">
        <v>0</v>
      </c>
      <c r="E43">
        <f t="shared" si="0"/>
        <v>10000</v>
      </c>
      <c r="F43" t="s">
        <v>142</v>
      </c>
      <c r="H43">
        <v>2</v>
      </c>
      <c r="I43">
        <v>645</v>
      </c>
      <c r="J43" t="s">
        <v>190</v>
      </c>
    </row>
    <row r="44" spans="1:11">
      <c r="A44" t="s">
        <v>206</v>
      </c>
      <c r="B44" t="s">
        <v>44</v>
      </c>
      <c r="C44">
        <v>8000</v>
      </c>
      <c r="D44">
        <v>0</v>
      </c>
      <c r="E44">
        <f t="shared" si="0"/>
        <v>8000</v>
      </c>
      <c r="F44" t="s">
        <v>143</v>
      </c>
      <c r="H44">
        <v>2</v>
      </c>
      <c r="I44">
        <v>516</v>
      </c>
      <c r="J44" t="s">
        <v>191</v>
      </c>
    </row>
    <row r="45" spans="1:11">
      <c r="A45" t="s">
        <v>122</v>
      </c>
      <c r="B45" t="s">
        <v>45</v>
      </c>
      <c r="C45">
        <v>8000</v>
      </c>
      <c r="D45">
        <v>8000</v>
      </c>
      <c r="E45">
        <f t="shared" si="0"/>
        <v>0</v>
      </c>
      <c r="F45" t="s">
        <v>124</v>
      </c>
      <c r="G45" t="s">
        <v>123</v>
      </c>
      <c r="J45" t="s">
        <v>192</v>
      </c>
    </row>
    <row r="46" spans="1:11">
      <c r="A46" t="s">
        <v>205</v>
      </c>
      <c r="B46" t="s">
        <v>46</v>
      </c>
      <c r="C46">
        <v>10000</v>
      </c>
      <c r="D46">
        <v>0</v>
      </c>
      <c r="E46">
        <f t="shared" si="0"/>
        <v>10000</v>
      </c>
      <c r="F46" t="s">
        <v>144</v>
      </c>
      <c r="H46">
        <v>3</v>
      </c>
      <c r="I46">
        <v>968</v>
      </c>
      <c r="J46" t="s">
        <v>193</v>
      </c>
    </row>
    <row r="47" spans="1:11">
      <c r="A47" t="s">
        <v>204</v>
      </c>
      <c r="B47" t="s">
        <v>47</v>
      </c>
      <c r="C47">
        <v>8000</v>
      </c>
      <c r="D47">
        <v>0</v>
      </c>
      <c r="E47">
        <f t="shared" si="0"/>
        <v>8000</v>
      </c>
      <c r="F47" t="s">
        <v>145</v>
      </c>
      <c r="H47">
        <v>3</v>
      </c>
      <c r="I47">
        <v>774</v>
      </c>
      <c r="J47" t="s">
        <v>194</v>
      </c>
    </row>
    <row r="48" spans="1:11" s="3" customFormat="1">
      <c r="A48" s="3" t="s">
        <v>203</v>
      </c>
      <c r="B48" s="3" t="s">
        <v>48</v>
      </c>
      <c r="C48" s="3">
        <v>8150</v>
      </c>
      <c r="D48" s="3">
        <v>8150</v>
      </c>
      <c r="E48" s="3">
        <f t="shared" si="0"/>
        <v>0</v>
      </c>
      <c r="F48" s="3" t="s">
        <v>146</v>
      </c>
      <c r="G48" s="3" t="s">
        <v>111</v>
      </c>
      <c r="J48" s="3" t="s">
        <v>196</v>
      </c>
    </row>
    <row r="49" spans="1:11">
      <c r="A49" t="s">
        <v>202</v>
      </c>
      <c r="B49" t="s">
        <v>49</v>
      </c>
      <c r="C49">
        <v>7500</v>
      </c>
      <c r="D49">
        <v>7500</v>
      </c>
      <c r="E49">
        <f t="shared" si="0"/>
        <v>0</v>
      </c>
      <c r="F49" t="s">
        <v>132</v>
      </c>
      <c r="G49" t="s">
        <v>113</v>
      </c>
      <c r="J49" t="s">
        <v>197</v>
      </c>
    </row>
    <row r="50" spans="1:11">
      <c r="A50" t="s">
        <v>107</v>
      </c>
      <c r="B50" t="s">
        <v>50</v>
      </c>
      <c r="C50">
        <v>8000</v>
      </c>
      <c r="D50">
        <v>8000</v>
      </c>
      <c r="E50">
        <f t="shared" si="0"/>
        <v>0</v>
      </c>
      <c r="F50" t="s">
        <v>149</v>
      </c>
      <c r="G50" t="s">
        <v>110</v>
      </c>
      <c r="J50" t="s">
        <v>198</v>
      </c>
    </row>
    <row r="51" spans="1:11">
      <c r="A51" t="s">
        <v>108</v>
      </c>
      <c r="B51" t="s">
        <v>51</v>
      </c>
      <c r="C51">
        <v>8000</v>
      </c>
      <c r="E51">
        <f t="shared" si="0"/>
        <v>8000</v>
      </c>
      <c r="F51" t="s">
        <v>148</v>
      </c>
      <c r="H51">
        <v>4</v>
      </c>
      <c r="I51">
        <v>1064</v>
      </c>
      <c r="J51" t="s">
        <v>200</v>
      </c>
    </row>
    <row r="52" spans="1:11">
      <c r="A52" t="s">
        <v>201</v>
      </c>
      <c r="B52" t="s">
        <v>52</v>
      </c>
      <c r="C52">
        <v>7500</v>
      </c>
      <c r="D52">
        <v>0</v>
      </c>
      <c r="E52">
        <f t="shared" si="0"/>
        <v>7500</v>
      </c>
      <c r="F52" t="s">
        <v>147</v>
      </c>
      <c r="H52">
        <v>3</v>
      </c>
      <c r="I52">
        <v>725</v>
      </c>
      <c r="J52" t="s">
        <v>199</v>
      </c>
      <c r="K52">
        <v>3</v>
      </c>
    </row>
    <row r="53" spans="1:11" s="1" customFormat="1">
      <c r="B53" s="1" t="s">
        <v>55</v>
      </c>
      <c r="C53" s="1">
        <f t="shared" ref="C53:D53" si="1">SUM(C3:C52)</f>
        <v>372810</v>
      </c>
      <c r="D53" s="1">
        <f t="shared" si="1"/>
        <v>248456</v>
      </c>
      <c r="E53" s="1">
        <f>SUM(E3:E52)</f>
        <v>124354</v>
      </c>
      <c r="F53"/>
      <c r="H53" s="1">
        <f>SUM(H3:H52)</f>
        <v>47</v>
      </c>
      <c r="I53" s="1">
        <f>SUM(I3:I52)</f>
        <v>11621</v>
      </c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samwel ngara</cp:lastModifiedBy>
  <dcterms:created xsi:type="dcterms:W3CDTF">2025-05-01T12:00:26Z</dcterms:created>
  <dcterms:modified xsi:type="dcterms:W3CDTF">2026-01-30T09:17:50Z</dcterms:modified>
</cp:coreProperties>
</file>